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anueldelatejera/Desktop/Linzor/"/>
    </mc:Choice>
  </mc:AlternateContent>
  <xr:revisionPtr revIDLastSave="0" documentId="13_ncr:1_{1F901BFC-7818-2643-A1F1-87CB57934146}" xr6:coauthVersionLast="47" xr6:coauthVersionMax="47" xr10:uidLastSave="{00000000-0000-0000-0000-000000000000}"/>
  <bookViews>
    <workbookView xWindow="0" yWindow="0" windowWidth="14280" windowHeight="18000" tabRatio="500" activeTab="2" xr2:uid="{00000000-000D-0000-FFFF-FFFF00000000}"/>
  </bookViews>
  <sheets>
    <sheet name="Instrucciones" sheetId="1" r:id="rId1"/>
    <sheet name="Ponderaciones" sheetId="2" r:id="rId2"/>
    <sheet name="Screening" sheetId="3" r:id="rId3"/>
    <sheet name="Shortlist" sheetId="4" r:id="rId4"/>
  </sheets>
  <definedNames>
    <definedName name="_xlnm._FilterDatabase" localSheetId="2" hidden="1">Screening!$A$1:$Z$35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X35" i="3" l="1"/>
  <c r="Y35" i="3" s="1"/>
  <c r="O35" i="3"/>
  <c r="M35" i="3"/>
  <c r="L35" i="3"/>
  <c r="P35" i="3" s="1"/>
  <c r="X34" i="3"/>
  <c r="Y34" i="3" s="1"/>
  <c r="O34" i="3"/>
  <c r="M34" i="3"/>
  <c r="L34" i="3"/>
  <c r="P34" i="3" s="1"/>
  <c r="X33" i="3"/>
  <c r="Y33" i="3" s="1"/>
  <c r="O33" i="3"/>
  <c r="M33" i="3"/>
  <c r="L33" i="3"/>
  <c r="P33" i="3" s="1"/>
  <c r="X32" i="3"/>
  <c r="Y32" i="3" s="1"/>
  <c r="O32" i="3"/>
  <c r="M32" i="3"/>
  <c r="L32" i="3"/>
  <c r="P32" i="3" s="1"/>
  <c r="X31" i="3"/>
  <c r="Y31" i="3" s="1"/>
  <c r="O31" i="3"/>
  <c r="M31" i="3"/>
  <c r="L31" i="3"/>
  <c r="P31" i="3" s="1"/>
  <c r="X30" i="3"/>
  <c r="Y30" i="3" s="1"/>
  <c r="O30" i="3"/>
  <c r="M30" i="3"/>
  <c r="L30" i="3"/>
  <c r="P30" i="3" s="1"/>
  <c r="X29" i="3"/>
  <c r="Y29" i="3" s="1"/>
  <c r="O29" i="3"/>
  <c r="M29" i="3"/>
  <c r="L29" i="3"/>
  <c r="P29" i="3" s="1"/>
  <c r="X28" i="3"/>
  <c r="Y28" i="3" s="1"/>
  <c r="O28" i="3"/>
  <c r="M28" i="3"/>
  <c r="L28" i="3"/>
  <c r="P28" i="3" s="1"/>
  <c r="X27" i="3"/>
  <c r="Y27" i="3" s="1"/>
  <c r="O27" i="3"/>
  <c r="M27" i="3"/>
  <c r="L27" i="3"/>
  <c r="P27" i="3" s="1"/>
  <c r="X26" i="3"/>
  <c r="Y26" i="3" s="1"/>
  <c r="O26" i="3"/>
  <c r="M26" i="3"/>
  <c r="L26" i="3"/>
  <c r="P26" i="3" s="1"/>
  <c r="X25" i="3"/>
  <c r="Y25" i="3" s="1"/>
  <c r="O25" i="3"/>
  <c r="M25" i="3"/>
  <c r="L25" i="3"/>
  <c r="P25" i="3" s="1"/>
  <c r="X24" i="3"/>
  <c r="Y24" i="3" s="1"/>
  <c r="O24" i="3"/>
  <c r="M24" i="3"/>
  <c r="L24" i="3"/>
  <c r="P24" i="3" s="1"/>
  <c r="X23" i="3"/>
  <c r="Y23" i="3" s="1"/>
  <c r="O23" i="3"/>
  <c r="M23" i="3"/>
  <c r="L23" i="3"/>
  <c r="P23" i="3" s="1"/>
  <c r="X22" i="3"/>
  <c r="Y22" i="3" s="1"/>
  <c r="O22" i="3"/>
  <c r="M22" i="3"/>
  <c r="L22" i="3"/>
  <c r="P22" i="3" s="1"/>
  <c r="X21" i="3"/>
  <c r="Y21" i="3" s="1"/>
  <c r="O21" i="3"/>
  <c r="M21" i="3"/>
  <c r="L21" i="3"/>
  <c r="P21" i="3" s="1"/>
  <c r="X20" i="3"/>
  <c r="Y20" i="3" s="1"/>
  <c r="P20" i="3"/>
  <c r="O20" i="3"/>
  <c r="M20" i="3"/>
  <c r="L20" i="3"/>
  <c r="X19" i="3"/>
  <c r="Y19" i="3" s="1"/>
  <c r="O19" i="3"/>
  <c r="M19" i="3"/>
  <c r="L19" i="3"/>
  <c r="P19" i="3" s="1"/>
  <c r="X18" i="3"/>
  <c r="Y18" i="3" s="1"/>
  <c r="O18" i="3"/>
  <c r="M18" i="3"/>
  <c r="L18" i="3"/>
  <c r="P18" i="3" s="1"/>
  <c r="X17" i="3"/>
  <c r="Y17" i="3" s="1"/>
  <c r="O17" i="3"/>
  <c r="M17" i="3"/>
  <c r="L17" i="3"/>
  <c r="P17" i="3" s="1"/>
  <c r="X16" i="3"/>
  <c r="Y16" i="3" s="1"/>
  <c r="O16" i="3"/>
  <c r="M16" i="3"/>
  <c r="L16" i="3"/>
  <c r="P16" i="3" s="1"/>
  <c r="X15" i="3"/>
  <c r="Y15" i="3" s="1"/>
  <c r="O15" i="3"/>
  <c r="M15" i="3"/>
  <c r="L15" i="3"/>
  <c r="P15" i="3" s="1"/>
  <c r="X14" i="3"/>
  <c r="Y14" i="3" s="1"/>
  <c r="O14" i="3"/>
  <c r="M14" i="3"/>
  <c r="L14" i="3"/>
  <c r="P14" i="3" s="1"/>
  <c r="X13" i="3"/>
  <c r="Y13" i="3" s="1"/>
  <c r="O13" i="3"/>
  <c r="M13" i="3"/>
  <c r="L13" i="3"/>
  <c r="P13" i="3" s="1"/>
  <c r="X12" i="3"/>
  <c r="Y12" i="3" s="1"/>
  <c r="O12" i="3"/>
  <c r="M12" i="3"/>
  <c r="L12" i="3"/>
  <c r="P12" i="3" s="1"/>
  <c r="X11" i="3"/>
  <c r="Y11" i="3" s="1"/>
  <c r="O11" i="3"/>
  <c r="M11" i="3"/>
  <c r="L11" i="3"/>
  <c r="P11" i="3" s="1"/>
  <c r="X10" i="3"/>
  <c r="Y10" i="3" s="1"/>
  <c r="O10" i="3"/>
  <c r="M10" i="3"/>
  <c r="L10" i="3"/>
  <c r="P10" i="3" s="1"/>
  <c r="X9" i="3"/>
  <c r="Y9" i="3" s="1"/>
  <c r="O9" i="3"/>
  <c r="M9" i="3"/>
  <c r="L9" i="3"/>
  <c r="P9" i="3" s="1"/>
  <c r="X8" i="3"/>
  <c r="Y8" i="3" s="1"/>
  <c r="O8" i="3"/>
  <c r="M8" i="3"/>
  <c r="L8" i="3"/>
  <c r="P8" i="3" s="1"/>
  <c r="X7" i="3"/>
  <c r="Y7" i="3" s="1"/>
  <c r="O7" i="3"/>
  <c r="M7" i="3"/>
  <c r="L7" i="3"/>
  <c r="P7" i="3" s="1"/>
  <c r="X6" i="3"/>
  <c r="Y6" i="3" s="1"/>
  <c r="O6" i="3"/>
  <c r="M6" i="3"/>
  <c r="L6" i="3"/>
  <c r="P6" i="3" s="1"/>
  <c r="X5" i="3"/>
  <c r="Y5" i="3" s="1"/>
  <c r="O5" i="3"/>
  <c r="M5" i="3"/>
  <c r="L5" i="3"/>
  <c r="P5" i="3" s="1"/>
  <c r="X4" i="3"/>
  <c r="Y4" i="3" s="1"/>
  <c r="O4" i="3"/>
  <c r="M4" i="3"/>
  <c r="L4" i="3"/>
  <c r="P4" i="3" s="1"/>
  <c r="X3" i="3"/>
  <c r="Y3" i="3" s="1"/>
  <c r="O3" i="3"/>
  <c r="M3" i="3"/>
  <c r="L3" i="3"/>
  <c r="P3" i="3" s="1"/>
  <c r="X2" i="3"/>
  <c r="Y2" i="3" s="1"/>
  <c r="O2" i="3"/>
  <c r="M2" i="3"/>
  <c r="L2" i="3"/>
  <c r="P2" i="3" s="1"/>
  <c r="B7" i="2"/>
  <c r="C7" i="2" s="1"/>
  <c r="E7" i="4" l="1"/>
  <c r="F8" i="4"/>
  <c r="B8" i="4"/>
  <c r="C4" i="4"/>
  <c r="E4" i="4"/>
  <c r="F4" i="4"/>
  <c r="C5" i="4"/>
  <c r="D5" i="4"/>
  <c r="E5" i="4"/>
  <c r="F5" i="4"/>
  <c r="C6" i="4"/>
  <c r="D6" i="4"/>
  <c r="F6" i="4"/>
  <c r="D7" i="4"/>
  <c r="D8" i="4"/>
  <c r="B6" i="4"/>
  <c r="B7" i="4"/>
  <c r="C8" i="4"/>
  <c r="E8" i="4"/>
  <c r="B4" i="4"/>
  <c r="D4" i="4"/>
  <c r="B5" i="4"/>
  <c r="E6" i="4"/>
  <c r="C7" i="4"/>
  <c r="F7" i="4"/>
</calcChain>
</file>

<file path=xl/sharedStrings.xml><?xml version="1.0" encoding="utf-8"?>
<sst xmlns="http://schemas.openxmlformats.org/spreadsheetml/2006/main" count="298" uniqueCount="173">
  <si>
    <t>Reto Linzor — Matriz de screening Colombia</t>
  </si>
  <si>
    <t>Cómo usar este archivo</t>
  </si>
  <si>
    <t>1. Hoja 'Ponderaciones': ajusta los pesos de los 5 criterios (deben sumar 100%) y el tipo de cambio COP/USD.</t>
  </si>
  <si>
    <t>2. Hoja 'Screening': llena SOLO las celdas amarillas por empresa: NIT, ventas 2023-2025 (COP millones), EBITDA 2025, accionistas, ángulo y los 5 puntajes (1-5).</t>
  </si>
  <si>
    <t>3. Las columnas en negro (USD, CAGR, margen, score ponderado, ranking, cumple piso) se calculan solas. No las edites.</t>
  </si>
  <si>
    <t>4. Fuente de datos: Portal de Información Empresarial (PIE) de Supersociedades → buscar por NIT o razón social → descargar EEFF. Accionistas: RUES / Cámara de Comercio.</t>
  </si>
  <si>
    <t>5. La fila 'EJEMPLO' muestra el formato esperado; bórrala cuando termines.</t>
  </si>
  <si>
    <t>Convención de colores</t>
  </si>
  <si>
    <t>Fondo amarillo = celda que tú llenas   |   Texto azul = supuesto editable   |   Texto negro = fórmula   |   Texto verde = referencia a otra hoja</t>
  </si>
  <si>
    <t>Escala de puntajes (1 = malo, 5 = excelente)</t>
  </si>
  <si>
    <t>Encaje Linzor: ¿replica un deal previo (Numaris, Sies, Uno Salud, Devlyn)? ¿control posible? ¿historia de impacto ODS 5/8/13?</t>
  </si>
  <si>
    <t>Tamaño: 5 = ventas US$10-25M y EV estimado US$40-100M; 3 = cerca del piso; 1 = muy por debajo o demasiado grande para LCP IV.</t>
  </si>
  <si>
    <t>Palanca de valor: ¿hay 3+ add-ons identificables, digitalización pendiente o expansión regional clara?</t>
  </si>
  <si>
    <t>Ángulo de transacción: ¿sucesión, searcher/fondo saliendo, necesidad de capital? 1 = corporativo o fundación sin motivo de venta.</t>
  </si>
  <si>
    <t>Disponibilidad de datos: 5 = EEFF completos 2022-2025 en Supersociedades; 1 = fundación / no reporta.</t>
  </si>
  <si>
    <t>Confianza en el nombre (columna F): A = sale en ranking sectorial con datos; B = deducido del portafolio de Linzor / conocimiento de mercado, verificar existencia, tamaño y dueño.</t>
  </si>
  <si>
    <t>Criterio</t>
  </si>
  <si>
    <t>Peso</t>
  </si>
  <si>
    <t>Encaje Linzor</t>
  </si>
  <si>
    <t>Tamaño</t>
  </si>
  <si>
    <t>Palanca de valor</t>
  </si>
  <si>
    <t>Ángulo de transacción</t>
  </si>
  <si>
    <t>Disponibilidad de datos</t>
  </si>
  <si>
    <t>Total</t>
  </si>
  <si>
    <t>Tipo de cambio COP por USD (supuesto)</t>
  </si>
  <si>
    <t>Supuesto del usuario; actualizar con TRM vigente (Banco de la República)</t>
  </si>
  <si>
    <t>Piso de ventas del reto (USD millones)</t>
  </si>
  <si>
    <t>Fuente: slide 'Reto Linzor' — ventas anuales sobre ~US$10 millones</t>
  </si>
  <si>
    <t>#</t>
  </si>
  <si>
    <t>Empresa</t>
  </si>
  <si>
    <t>Subsector</t>
  </si>
  <si>
    <t>Ciudad</t>
  </si>
  <si>
    <t>Qué hace</t>
  </si>
  <si>
    <t>Confianza nombre</t>
  </si>
  <si>
    <t>Deal de Linzor que replica</t>
  </si>
  <si>
    <t>NIT</t>
  </si>
  <si>
    <t>Ventas 2023 (COP mm)</t>
  </si>
  <si>
    <t>Ventas 2024 (COP mm)</t>
  </si>
  <si>
    <t>Ventas 2025 (COP mm)</t>
  </si>
  <si>
    <t>Ventas 2025 (USD mm)</t>
  </si>
  <si>
    <t>CAGR 23-25</t>
  </si>
  <si>
    <t>EBITDA 2025 (COP mm)</t>
  </si>
  <si>
    <t>Margen EBITDA</t>
  </si>
  <si>
    <t>Cumple piso ventas</t>
  </si>
  <si>
    <t>Accionistas / dueño</t>
  </si>
  <si>
    <t>Encaje Linzor (1-5)</t>
  </si>
  <si>
    <t>Tamaño (1-5)</t>
  </si>
  <si>
    <t>Palanca de valor (1-5)</t>
  </si>
  <si>
    <t>Ángulo transacción (1-5)</t>
  </si>
  <si>
    <t>Datos (1-5)</t>
  </si>
  <si>
    <t>Score ponderado</t>
  </si>
  <si>
    <t>Ranking</t>
  </si>
  <si>
    <t>Notas</t>
  </si>
  <si>
    <t>ej</t>
  </si>
  <si>
    <t>EJEMPLO S.A.S.</t>
  </si>
  <si>
    <t>Software</t>
  </si>
  <si>
    <t>Bogotá</t>
  </si>
  <si>
    <t>Fila de ejemplo con formato esperado — borrar</t>
  </si>
  <si>
    <t>—</t>
  </si>
  <si>
    <t>Numaris</t>
  </si>
  <si>
    <t>900.123.456-7</t>
  </si>
  <si>
    <t>Fundador 70% / familia 30%</t>
  </si>
  <si>
    <t>Fundador de 62 años sin sucesor; busca socio para expansión regional</t>
  </si>
  <si>
    <t>Datos ficticios solo para ilustrar el formato</t>
  </si>
  <si>
    <t>Satrack</t>
  </si>
  <si>
    <t>Medellín</t>
  </si>
  <si>
    <t>Telemática y gestión de flotas</t>
  </si>
  <si>
    <t>B</t>
  </si>
  <si>
    <t>830.059.699</t>
  </si>
  <si>
    <t>EBITDA aproximado por EBIT (utilidad operacional); D&amp;A no desagregada en el estado de resultados por función. Fuente: SIIS Supersociedades, corte 2025-12-31.</t>
  </si>
  <si>
    <t>Widetech</t>
  </si>
  <si>
    <t>Telemática, logística, IoT</t>
  </si>
  <si>
    <t>Fundador-operador: Jaime Arbeláez (ingeniero de sistemas, ~55-58 años), fundó la empresa en 2007-2008 tras quedarse sin empleo. Sin fondo visible.</t>
  </si>
  <si>
    <t>Posible sucesión/liquidez: fundador único, empresa consolidada de ~18 años, presencia en 18+ países. No declara plan de venta pero perfil encaja con institucionalización.</t>
  </si>
  <si>
    <t>Fuente: entrevista El Espectador y Rackspace case study. Verificar composición accionaria en Cámara de Comercio.</t>
  </si>
  <si>
    <t>Heinsohn Business Technology</t>
  </si>
  <si>
    <t>Nómina/HR y software para sector público</t>
  </si>
  <si>
    <t>A</t>
  </si>
  <si>
    <t>Numaris / inConcert</t>
  </si>
  <si>
    <t>No se encontró info pública de accionistas/fundador. 40+ años en el mercado, sugiere posible sucesión familiar. Pendiente RUES.</t>
  </si>
  <si>
    <t>Digital Ware</t>
  </si>
  <si>
    <t>ERP (Ophelia) y software hospitalario / HCM</t>
  </si>
  <si>
    <t>H.I.G. Capital (PE global) — inversión estratégica desde feb-2019, su primera inversión en Colombia.</t>
  </si>
  <si>
    <t>NO ES TARGET DE ENTRADA: ya tiene sponsor de PE. Obtuvo crédito sindicado COP 38,000mm (Itaú/Davivienda) en abr-2026 para expansión LatAm. Posible salida de H.I.G. en 2-3 años, no ahora.</t>
  </si>
  <si>
    <t>DESCARTAR de la short list activa. Fuente: H.I.G. Capital press release 2019; Cuatrecasas 2026.</t>
  </si>
  <si>
    <t>Quipux</t>
  </si>
  <si>
    <t>Software de tránsito y transporte para gobiernos</t>
  </si>
  <si>
    <t>No se encontró info pública de accionistas. Alto riesgo de cliente público (gobiernos). Pendiente RUES.</t>
  </si>
  <si>
    <t>Sistemas Expertos</t>
  </si>
  <si>
    <t>Software hospitalario y facturación en salud</t>
  </si>
  <si>
    <t>Numaris / Sies</t>
  </si>
  <si>
    <t>Xenco</t>
  </si>
  <si>
    <t>Software para IPS</t>
  </si>
  <si>
    <t>Geoanalítica y datos para retail y banca</t>
  </si>
  <si>
    <t>Propiedad diluida entre profesionales fundadores (empresa 'nace del esfuerzo de un grupo de profesionales'); dirección profesionalizada: CEO Mónica Patiño, luego Manuel Peláez (ejecutivo de carrera, no fundador).</t>
  </si>
  <si>
    <t>Ángulo fuerte: plan público de expansión a Brasil/México con meta de US$100M en ventas en 5 años. Ya opera en 8 países, vende a 17. Motivo probable: capital para financiar expansión, no sucesión.</t>
  </si>
  <si>
    <t>Fuente: entrevista Portafolio 2026 (CEO) y nombramiento Manuel Peláez. Verificar cap table en RUES.</t>
  </si>
  <si>
    <t>Siesa</t>
  </si>
  <si>
    <t>Cali</t>
  </si>
  <si>
    <t>ERP para empresas medianas</t>
  </si>
  <si>
    <t>Advent International (PE global) adquirió participación mayoritaria en dic-2024, comprándosela a Siesint Holdings (vehículo de Carlos Slim) y exempleados. Cofundador quedó como minoritario.</t>
  </si>
  <si>
    <t>NO ES TARGET DE ENTRADA: ya es activo de PE global (Advent), comprado hace &lt;2 años. Cualquier entrada sería secundario fondo-a-fondo.</t>
  </si>
  <si>
    <t>DESCARTAR de la short list activa. Fuente: Advent International press release dic-2024, Forbes Colombia.</t>
  </si>
  <si>
    <t>Sinco ERP</t>
  </si>
  <si>
    <t>ERP pyme</t>
  </si>
  <si>
    <t>Novasoft</t>
  </si>
  <si>
    <t>Data Tools</t>
  </si>
  <si>
    <t>Software de facturación y crédito</t>
  </si>
  <si>
    <t>Numaris / Engen</t>
  </si>
  <si>
    <t>Ceiba Software House</t>
  </si>
  <si>
    <t>Fábrica de software (servicios)</t>
  </si>
  <si>
    <t>inConcert</t>
  </si>
  <si>
    <t>Pragma</t>
  </si>
  <si>
    <t>Sofka Technologies</t>
  </si>
  <si>
    <t>Asesoftware</t>
  </si>
  <si>
    <t>Alegra</t>
  </si>
  <si>
    <t>Contabilidad SaaS pymes (VC)</t>
  </si>
  <si>
    <t>Dumian Medical</t>
  </si>
  <si>
    <t>Salud</t>
  </si>
  <si>
    <t>IPS gestión de enfermedades crónicas</t>
  </si>
  <si>
    <t>Sies Salud</t>
  </si>
  <si>
    <t>Medicarte</t>
  </si>
  <si>
    <t>Crónicos, VIH, alto costo</t>
  </si>
  <si>
    <t>IMAT Oncomédica</t>
  </si>
  <si>
    <t>Montería</t>
  </si>
  <si>
    <t>Oncología en el Caribe</t>
  </si>
  <si>
    <t>Grupo Auna (inversionista peruano Jesús Zamora, vía holding Enfoca) adquirió 70% de Oncomédica en 2025, tomando control de IMAT y de la Clínica Universitaria Medicina Integral.</t>
  </si>
  <si>
    <t>NO ES TARGET: ya es parte de un consolidador regional (Auna opera 23 centros en Perú, Colombia y México). Auna es más bien un comprador estratégico potencial para OTRO target de Linzor, no un target en sí.</t>
  </si>
  <si>
    <t>DESCARTAR de la short list activa. Fuente: Las2Orillas. Auna anotar como comprador estratégico potencial para salida.</t>
  </si>
  <si>
    <t>Bienestar IPS</t>
  </si>
  <si>
    <t>Varias</t>
  </si>
  <si>
    <t>IPS ambulatoria mediana</t>
  </si>
  <si>
    <t>Clínica Medical</t>
  </si>
  <si>
    <t>Sonría</t>
  </si>
  <si>
    <t>Cadena de clínicas dentales</t>
  </si>
  <si>
    <t>Uno Salud Dental</t>
  </si>
  <si>
    <t>Posible ronda de growth equity ya recibida (Dealroom indica 'Growth Equity VC', monto no revelado). Gerente general Robin Gutiérrez (parece ejecutivo profesional, no necesariamente fundador-dueño).</t>
  </si>
  <si>
    <t>Verificar con urgencia si el inversor de growth equity tiene control o es minoritario antes de avanzar — cambia todo el ángulo de entrada. 62 clínicas propias + Colordent (laboratorio) + operación en México (11 clínicas) — puede ser demasiado grande para el ticket de LCP IV.</t>
  </si>
  <si>
    <t>PRIORIDAD DE VERIFICACIÓN ALTA. Fuente: Dealroom, Portafolio 2025, Crunchbase.</t>
  </si>
  <si>
    <t>Dentisalud</t>
  </si>
  <si>
    <t>Cadena dental</t>
  </si>
  <si>
    <t>Dinámica IPS</t>
  </si>
  <si>
    <t>Diagnóstico por imágenes</t>
  </si>
  <si>
    <t>Sies / Uno Salud</t>
  </si>
  <si>
    <t>Idime</t>
  </si>
  <si>
    <t>Imágenes diagnósticas</t>
  </si>
  <si>
    <t>Colcan</t>
  </si>
  <si>
    <t>Laboratorio clínico</t>
  </si>
  <si>
    <t>Lafam</t>
  </si>
  <si>
    <t>Cadena de ópticas</t>
  </si>
  <si>
    <t>Devlyn</t>
  </si>
  <si>
    <t>Clínica de Oftalmología San Diego</t>
  </si>
  <si>
    <t>Cirugía oftalmológica</t>
  </si>
  <si>
    <t>Devlyn / Uno Salud</t>
  </si>
  <si>
    <t>Oftalmos</t>
  </si>
  <si>
    <t>Medplus</t>
  </si>
  <si>
    <t>Prepagada / plan complementario</t>
  </si>
  <si>
    <t>Cruz Blanca / Banmédica</t>
  </si>
  <si>
    <t>Grupo familiar MedPlus Holding (13-14 empresas). Presidente ejecutivo de larga data: J. Hernando Botero (&gt;4 años en el cargo, dirige hace tiempo la expansión del holding).</t>
  </si>
  <si>
    <t>Probablemente DEMASIADO GRANDE para LCP IV: ha invertido &gt;COP 100,000mm solo en una clínica (Clínica Azul) y otros COP 100,000mm en Clínica Santa Mónica. Sin señal de venta — están invirtiendo capital propio agresivamente, no buscando socio.</t>
  </si>
  <si>
    <t>Bajar prioridad por tamaño y falta de ángulo de transacción. Fuente: La República, Valora Analitik, La Nota Económica.</t>
  </si>
  <si>
    <t>Emermédica</t>
  </si>
  <si>
    <t>Atención domiciliaria prepagada</t>
  </si>
  <si>
    <t>Cruz Blanca</t>
  </si>
  <si>
    <t>EMI</t>
  </si>
  <si>
    <t>Leyenda: amarillo = llenar; verde = referencia a Ponderaciones; negro = fórmula. Ventas y EBITDA en COP millones tal como reporta Supersociedades.</t>
  </si>
  <si>
    <t>Fuentes de nombres: rankings sectoriales LaNota (TI 2025, IPS 2024) = confianza A; deducidos del portafolio de Linzor = confianza B.</t>
  </si>
  <si>
    <t>Top 5 por score ponderado (se actualiza solo cuando llenas los puntajes)</t>
  </si>
  <si>
    <t>Posición</t>
  </si>
  <si>
    <t>Score</t>
  </si>
  <si>
    <t>Cumple piso</t>
  </si>
  <si>
    <t>Servinformación Información localizada</t>
  </si>
  <si>
    <t>EBIT negativo el periodo anterior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</si>
</sst>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3" x14ac:knownFonts="1">
    <font>
      <sz val="11"/>
      <color theme="1"/>
      <name val="Calibri"/>
      <family val="2"/>
      <charset val="1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i/>
      <sz val="10"/>
      <color rgb="FF808080"/>
      <name val="Arial"/>
      <family val="2"/>
    </font>
    <font>
      <i/>
      <sz val="10"/>
      <color rgb="FF0000FF"/>
      <name val="Arial"/>
      <family val="2"/>
    </font>
    <font>
      <sz val="11"/>
      <color rgb="FF0000FF"/>
      <name val="Arial"/>
      <family val="2"/>
    </font>
    <font>
      <sz val="10"/>
      <color rgb="FF008000"/>
      <name val="Arial"/>
      <family val="2"/>
    </font>
    <font>
      <i/>
      <sz val="11"/>
      <color rgb="FF80808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/>
    <xf numFmtId="0" fontId="2" fillId="0" borderId="0" xfId="0" applyFont="1"/>
    <xf numFmtId="9" fontId="5" fillId="3" borderId="0" xfId="0" applyNumberFormat="1" applyFont="1" applyFill="1"/>
    <xf numFmtId="0" fontId="6" fillId="0" borderId="0" xfId="0" applyFont="1"/>
    <xf numFmtId="9" fontId="6" fillId="0" borderId="0" xfId="0" applyNumberFormat="1" applyFont="1"/>
    <xf numFmtId="0" fontId="7" fillId="0" borderId="0" xfId="0" applyFont="1"/>
    <xf numFmtId="3" fontId="5" fillId="3" borderId="0" xfId="0" applyNumberFormat="1" applyFont="1" applyFill="1"/>
    <xf numFmtId="0" fontId="5" fillId="3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3" fontId="9" fillId="3" borderId="1" xfId="0" applyNumberFormat="1" applyFont="1" applyFill="1" applyBorder="1" applyAlignment="1">
      <alignment vertical="top" wrapText="1"/>
    </xf>
    <xf numFmtId="164" fontId="8" fillId="0" borderId="1" xfId="0" applyNumberFormat="1" applyFont="1" applyBorder="1" applyAlignment="1">
      <alignment vertical="top" wrapText="1"/>
    </xf>
    <xf numFmtId="165" fontId="8" fillId="0" borderId="1" xfId="0" applyNumberFormat="1" applyFont="1" applyBorder="1" applyAlignment="1">
      <alignment vertical="top" wrapText="1"/>
    </xf>
    <xf numFmtId="2" fontId="8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0" fillId="3" borderId="1" xfId="0" applyFont="1" applyFill="1" applyBorder="1" applyAlignment="1">
      <alignment vertical="top" wrapText="1"/>
    </xf>
    <xf numFmtId="3" fontId="5" fillId="3" borderId="1" xfId="0" applyNumberFormat="1" applyFont="1" applyFill="1" applyBorder="1" applyAlignment="1">
      <alignment vertical="top" wrapText="1"/>
    </xf>
    <xf numFmtId="3" fontId="10" fillId="3" borderId="1" xfId="0" applyNumberFormat="1" applyFont="1" applyFill="1" applyBorder="1" applyAlignment="1">
      <alignment vertical="top" wrapText="1"/>
    </xf>
    <xf numFmtId="164" fontId="11" fillId="0" borderId="1" xfId="0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2" fontId="11" fillId="0" borderId="1" xfId="0" applyNumberFormat="1" applyFont="1" applyBorder="1" applyAlignment="1">
      <alignment vertical="top" wrapText="1"/>
    </xf>
    <xf numFmtId="0" fontId="12" fillId="3" borderId="1" xfId="0" applyFont="1" applyFill="1" applyBorder="1" applyAlignment="1">
      <alignment vertical="top" wrapText="1"/>
    </xf>
    <xf numFmtId="0" fontId="3" fillId="0" borderId="0" xfId="0" applyFont="1"/>
    <xf numFmtId="0" fontId="4" fillId="2" borderId="1" xfId="0" applyFont="1" applyFill="1" applyBorder="1"/>
    <xf numFmtId="0" fontId="2" fillId="0" borderId="1" xfId="0" applyFont="1" applyBorder="1"/>
    <xf numFmtId="0" fontId="11" fillId="0" borderId="1" xfId="0" applyFont="1" applyBorder="1"/>
    <xf numFmtId="2" fontId="11" fillId="0" borderId="1" xfId="0" applyNumberFormat="1" applyFont="1" applyBorder="1"/>
    <xf numFmtId="164" fontId="11" fillId="0" borderId="1" xfId="0" applyNumberFormat="1" applyFont="1" applyBorder="1"/>
    <xf numFmtId="0" fontId="2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3" fontId="5" fillId="5" borderId="1" xfId="0" applyNumberFormat="1" applyFont="1" applyFill="1" applyBorder="1" applyAlignment="1">
      <alignment vertical="top" wrapText="1"/>
    </xf>
    <xf numFmtId="164" fontId="11" fillId="4" borderId="1" xfId="0" applyNumberFormat="1" applyFont="1" applyFill="1" applyBorder="1" applyAlignment="1">
      <alignment vertical="top" wrapText="1"/>
    </xf>
    <xf numFmtId="165" fontId="2" fillId="4" borderId="1" xfId="0" applyNumberFormat="1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2" fontId="11" fillId="4" borderId="1" xfId="0" applyNumberFormat="1" applyFont="1" applyFill="1" applyBorder="1" applyAlignment="1">
      <alignment vertical="top" wrapText="1"/>
    </xf>
    <xf numFmtId="0" fontId="0" fillId="4" borderId="0" xfId="0" applyFill="1"/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zoomScaleNormal="100" workbookViewId="0"/>
  </sheetViews>
  <sheetFormatPr baseColWidth="10" defaultColWidth="8.6640625" defaultRowHeight="15" x14ac:dyDescent="0.2"/>
  <cols>
    <col min="1" max="1" width="140" customWidth="1"/>
  </cols>
  <sheetData>
    <row r="1" spans="1:1" ht="17.25" customHeight="1" x14ac:dyDescent="0.2">
      <c r="A1" s="1" t="s">
        <v>0</v>
      </c>
    </row>
    <row r="2" spans="1:1" ht="15" customHeight="1" x14ac:dyDescent="0.2">
      <c r="A2" s="2"/>
    </row>
    <row r="3" spans="1:1" ht="15" customHeight="1" x14ac:dyDescent="0.2">
      <c r="A3" s="3" t="s">
        <v>1</v>
      </c>
    </row>
    <row r="4" spans="1:1" ht="15" customHeight="1" x14ac:dyDescent="0.2">
      <c r="A4" s="2" t="s">
        <v>2</v>
      </c>
    </row>
    <row r="5" spans="1:1" ht="15" customHeight="1" x14ac:dyDescent="0.2">
      <c r="A5" s="2" t="s">
        <v>3</v>
      </c>
    </row>
    <row r="6" spans="1:1" ht="15" customHeight="1" x14ac:dyDescent="0.2">
      <c r="A6" s="2" t="s">
        <v>4</v>
      </c>
    </row>
    <row r="7" spans="1:1" ht="23.25" customHeight="1" x14ac:dyDescent="0.2">
      <c r="A7" s="2" t="s">
        <v>5</v>
      </c>
    </row>
    <row r="8" spans="1:1" ht="15" customHeight="1" x14ac:dyDescent="0.2">
      <c r="A8" s="2" t="s">
        <v>6</v>
      </c>
    </row>
    <row r="9" spans="1:1" ht="15" customHeight="1" x14ac:dyDescent="0.2">
      <c r="A9" s="2"/>
    </row>
    <row r="10" spans="1:1" ht="15" customHeight="1" x14ac:dyDescent="0.2">
      <c r="A10" s="3" t="s">
        <v>7</v>
      </c>
    </row>
    <row r="11" spans="1:1" ht="15" customHeight="1" x14ac:dyDescent="0.2">
      <c r="A11" s="2" t="s">
        <v>8</v>
      </c>
    </row>
    <row r="12" spans="1:1" ht="15" customHeight="1" x14ac:dyDescent="0.2">
      <c r="A12" s="2"/>
    </row>
    <row r="13" spans="1:1" ht="15" customHeight="1" x14ac:dyDescent="0.2">
      <c r="A13" s="3" t="s">
        <v>9</v>
      </c>
    </row>
    <row r="14" spans="1:1" ht="15" customHeight="1" x14ac:dyDescent="0.2">
      <c r="A14" s="2" t="s">
        <v>10</v>
      </c>
    </row>
    <row r="15" spans="1:1" ht="15" customHeight="1" x14ac:dyDescent="0.2">
      <c r="A15" s="2" t="s">
        <v>11</v>
      </c>
    </row>
    <row r="16" spans="1:1" ht="15" customHeight="1" x14ac:dyDescent="0.2">
      <c r="A16" s="2" t="s">
        <v>12</v>
      </c>
    </row>
    <row r="17" spans="1:1" ht="15" customHeight="1" x14ac:dyDescent="0.2">
      <c r="A17" s="2" t="s">
        <v>13</v>
      </c>
    </row>
    <row r="18" spans="1:1" ht="15" customHeight="1" x14ac:dyDescent="0.2">
      <c r="A18" s="2" t="s">
        <v>14</v>
      </c>
    </row>
    <row r="19" spans="1:1" ht="15" customHeight="1" x14ac:dyDescent="0.2">
      <c r="A19" s="2"/>
    </row>
    <row r="20" spans="1:1" ht="23.25" customHeight="1" x14ac:dyDescent="0.2">
      <c r="A20" s="2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zoomScaleNormal="100" workbookViewId="0"/>
  </sheetViews>
  <sheetFormatPr baseColWidth="10" defaultColWidth="8.6640625" defaultRowHeight="15" x14ac:dyDescent="0.2"/>
  <cols>
    <col min="1" max="1" width="40" customWidth="1"/>
    <col min="2" max="2" width="12" customWidth="1"/>
    <col min="3" max="3" width="70" customWidth="1"/>
  </cols>
  <sheetData>
    <row r="1" spans="1:3" ht="15" customHeight="1" x14ac:dyDescent="0.2">
      <c r="A1" s="4" t="s">
        <v>16</v>
      </c>
      <c r="B1" s="4" t="s">
        <v>17</v>
      </c>
    </row>
    <row r="2" spans="1:3" ht="15" customHeight="1" x14ac:dyDescent="0.2">
      <c r="A2" s="5" t="s">
        <v>18</v>
      </c>
      <c r="B2" s="6">
        <v>0.3</v>
      </c>
    </row>
    <row r="3" spans="1:3" ht="15" customHeight="1" x14ac:dyDescent="0.2">
      <c r="A3" s="5" t="s">
        <v>19</v>
      </c>
      <c r="B3" s="6">
        <v>0.15</v>
      </c>
    </row>
    <row r="4" spans="1:3" ht="15" customHeight="1" x14ac:dyDescent="0.2">
      <c r="A4" s="5" t="s">
        <v>20</v>
      </c>
      <c r="B4" s="6">
        <v>0.2</v>
      </c>
    </row>
    <row r="5" spans="1:3" ht="15" customHeight="1" x14ac:dyDescent="0.2">
      <c r="A5" s="5" t="s">
        <v>21</v>
      </c>
      <c r="B5" s="6">
        <v>0.2</v>
      </c>
    </row>
    <row r="6" spans="1:3" ht="15" customHeight="1" x14ac:dyDescent="0.2">
      <c r="A6" s="5" t="s">
        <v>22</v>
      </c>
      <c r="B6" s="6">
        <v>0.15</v>
      </c>
    </row>
    <row r="7" spans="1:3" ht="15" customHeight="1" x14ac:dyDescent="0.2">
      <c r="A7" s="7" t="s">
        <v>23</v>
      </c>
      <c r="B7" s="8">
        <f>SUM(B2:B6)</f>
        <v>0.99999999999999989</v>
      </c>
      <c r="C7" s="9" t="str">
        <f>IF(ABS(B7-1)&lt;0.0001,"OK","Los pesos deben sumar 100%")</f>
        <v>OK</v>
      </c>
    </row>
    <row r="9" spans="1:3" ht="15" customHeight="1" x14ac:dyDescent="0.2">
      <c r="A9" s="5" t="s">
        <v>24</v>
      </c>
      <c r="B9" s="10">
        <v>4000</v>
      </c>
      <c r="C9" s="9" t="s">
        <v>25</v>
      </c>
    </row>
    <row r="10" spans="1:3" ht="15" customHeight="1" x14ac:dyDescent="0.2">
      <c r="A10" s="5" t="s">
        <v>26</v>
      </c>
      <c r="B10" s="11">
        <v>10</v>
      </c>
      <c r="C10" s="9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8"/>
  <sheetViews>
    <sheetView tabSelected="1" zoomScale="125" zoomScaleNormal="100" workbookViewId="0">
      <pane xSplit="2" ySplit="1" topLeftCell="G4" activePane="bottomRight" state="frozen"/>
      <selection pane="topRight" activeCell="C1" sqref="C1"/>
      <selection pane="bottomLeft" activeCell="A2" sqref="A2"/>
      <selection pane="bottomRight" activeCell="B34" sqref="B34"/>
    </sheetView>
  </sheetViews>
  <sheetFormatPr baseColWidth="10" defaultColWidth="8.6640625" defaultRowHeight="15" x14ac:dyDescent="0.2"/>
  <cols>
    <col min="1" max="1" width="4" customWidth="1"/>
    <col min="2" max="2" width="26" customWidth="1"/>
    <col min="3" max="3" width="16" customWidth="1"/>
    <col min="4" max="4" width="12" customWidth="1"/>
    <col min="5" max="5" width="38" customWidth="1"/>
    <col min="6" max="6" width="10" customWidth="1"/>
    <col min="7" max="7" width="22" customWidth="1"/>
    <col min="8" max="12" width="14" customWidth="1"/>
    <col min="13" max="13" width="10" customWidth="1"/>
    <col min="14" max="14" width="14" customWidth="1"/>
    <col min="15" max="15" width="10" customWidth="1"/>
    <col min="16" max="16" width="12" customWidth="1"/>
    <col min="17" max="18" width="28" customWidth="1"/>
    <col min="19" max="23" width="10" customWidth="1"/>
    <col min="24" max="24" width="11" customWidth="1"/>
    <col min="25" max="25" width="9" customWidth="1"/>
    <col min="26" max="26" width="40" customWidth="1"/>
  </cols>
  <sheetData>
    <row r="1" spans="1:26" ht="42" customHeight="1" x14ac:dyDescent="0.2">
      <c r="A1" s="12" t="s">
        <v>28</v>
      </c>
      <c r="B1" s="12" t="s">
        <v>29</v>
      </c>
      <c r="C1" s="12" t="s">
        <v>30</v>
      </c>
      <c r="D1" s="12" t="s">
        <v>31</v>
      </c>
      <c r="E1" s="12" t="s">
        <v>32</v>
      </c>
      <c r="F1" s="12" t="s">
        <v>33</v>
      </c>
      <c r="G1" s="12" t="s">
        <v>34</v>
      </c>
      <c r="H1" s="12" t="s">
        <v>35</v>
      </c>
      <c r="I1" s="12" t="s">
        <v>36</v>
      </c>
      <c r="J1" s="12" t="s">
        <v>37</v>
      </c>
      <c r="K1" s="12" t="s">
        <v>38</v>
      </c>
      <c r="L1" s="12" t="s">
        <v>39</v>
      </c>
      <c r="M1" s="12" t="s">
        <v>40</v>
      </c>
      <c r="N1" s="12" t="s">
        <v>41</v>
      </c>
      <c r="O1" s="12" t="s">
        <v>42</v>
      </c>
      <c r="P1" s="12" t="s">
        <v>43</v>
      </c>
      <c r="Q1" s="12" t="s">
        <v>44</v>
      </c>
      <c r="R1" s="12" t="s">
        <v>21</v>
      </c>
      <c r="S1" s="12" t="s">
        <v>45</v>
      </c>
      <c r="T1" s="12" t="s">
        <v>46</v>
      </c>
      <c r="U1" s="12" t="s">
        <v>47</v>
      </c>
      <c r="V1" s="12" t="s">
        <v>48</v>
      </c>
      <c r="W1" s="12" t="s">
        <v>49</v>
      </c>
      <c r="X1" s="12" t="s">
        <v>50</v>
      </c>
      <c r="Y1" s="12" t="s">
        <v>51</v>
      </c>
      <c r="Z1" s="12" t="s">
        <v>52</v>
      </c>
    </row>
    <row r="2" spans="1:26" ht="34.5" customHeight="1" x14ac:dyDescent="0.2">
      <c r="A2" s="13" t="s">
        <v>53</v>
      </c>
      <c r="B2" s="13" t="s">
        <v>54</v>
      </c>
      <c r="C2" s="13" t="s">
        <v>55</v>
      </c>
      <c r="D2" s="13" t="s">
        <v>56</v>
      </c>
      <c r="E2" s="13" t="s">
        <v>57</v>
      </c>
      <c r="F2" s="13" t="s">
        <v>58</v>
      </c>
      <c r="G2" s="13" t="s">
        <v>59</v>
      </c>
      <c r="H2" s="14" t="s">
        <v>60</v>
      </c>
      <c r="I2" s="15">
        <v>38000</v>
      </c>
      <c r="J2" s="15">
        <v>44000</v>
      </c>
      <c r="K2" s="15">
        <v>52000</v>
      </c>
      <c r="L2" s="16">
        <f>IF(K2="","",K2/Ponderaciones!$B$9)</f>
        <v>13</v>
      </c>
      <c r="M2" s="17">
        <f t="shared" ref="M2:M35" si="0">IF(OR(I2="",K2="",I2&lt;=0),"",(K2/I2)^(1/2)-1)</f>
        <v>0.16979530373120366</v>
      </c>
      <c r="N2" s="15">
        <v>9000</v>
      </c>
      <c r="O2" s="17">
        <f t="shared" ref="O2:O35" si="1">IF(OR(N2="",K2="",K2=0),"",N2/K2)</f>
        <v>0.17307692307692307</v>
      </c>
      <c r="P2" s="13" t="str">
        <f>IF(L2="","",IF(L2&gt;=Ponderaciones!$B$10,"SÍ","NO"))</f>
        <v>SÍ</v>
      </c>
      <c r="Q2" s="14" t="s">
        <v>61</v>
      </c>
      <c r="R2" s="14" t="s">
        <v>62</v>
      </c>
      <c r="S2" s="14">
        <v>4</v>
      </c>
      <c r="T2" s="14">
        <v>4</v>
      </c>
      <c r="U2" s="14">
        <v>5</v>
      </c>
      <c r="V2" s="14">
        <v>4</v>
      </c>
      <c r="W2" s="14">
        <v>5</v>
      </c>
      <c r="X2" s="18">
        <f>IF(COUNT(S2:W2)&lt;5,"",S2*Ponderaciones!$B$2+T2*Ponderaciones!$B$3+U2*Ponderaciones!$B$4+V2*Ponderaciones!$B$5+W2*Ponderaciones!$B$6)</f>
        <v>4.3499999999999996</v>
      </c>
      <c r="Y2" s="13">
        <f t="shared" ref="Y2:Y35" si="2">IF(X2="","",RANK(X2,$X$2:$X$35,0))</f>
        <v>1</v>
      </c>
      <c r="Z2" s="14" t="s">
        <v>63</v>
      </c>
    </row>
    <row r="3" spans="1:26" ht="15" customHeight="1" x14ac:dyDescent="0.2">
      <c r="A3" s="19">
        <v>1</v>
      </c>
      <c r="B3" s="19" t="s">
        <v>64</v>
      </c>
      <c r="C3" s="19" t="s">
        <v>55</v>
      </c>
      <c r="D3" s="19" t="s">
        <v>65</v>
      </c>
      <c r="E3" s="19" t="s">
        <v>66</v>
      </c>
      <c r="F3" s="19" t="s">
        <v>67</v>
      </c>
      <c r="G3" s="19" t="s">
        <v>59</v>
      </c>
      <c r="H3" s="20" t="s">
        <v>68</v>
      </c>
      <c r="I3" s="21"/>
      <c r="J3" s="22">
        <v>91207</v>
      </c>
      <c r="K3" s="22">
        <v>102903</v>
      </c>
      <c r="L3" s="23">
        <f>IF(K3="","",K3/Ponderaciones!$B$9)</f>
        <v>25.725750000000001</v>
      </c>
      <c r="M3" s="24" t="str">
        <f t="shared" si="0"/>
        <v/>
      </c>
      <c r="N3" s="22">
        <v>12775</v>
      </c>
      <c r="O3" s="24">
        <f t="shared" si="1"/>
        <v>0.12414604044585678</v>
      </c>
      <c r="P3" s="25" t="str">
        <f>IF(L3="","",IF(L3&gt;=Ponderaciones!$B$10,"SÍ","NO"))</f>
        <v>SÍ</v>
      </c>
      <c r="Q3" s="26"/>
      <c r="R3" s="26"/>
      <c r="S3" s="26"/>
      <c r="T3" s="26"/>
      <c r="U3" s="26"/>
      <c r="V3" s="26"/>
      <c r="W3" s="26"/>
      <c r="X3" s="27" t="str">
        <f>IF(COUNT(S3:W3)&lt;5,"",S3*Ponderaciones!$B$2+T3*Ponderaciones!$B$3+U3*Ponderaciones!$B$4+V3*Ponderaciones!$B$5+W3*Ponderaciones!$B$6)</f>
        <v/>
      </c>
      <c r="Y3" s="19" t="str">
        <f t="shared" si="2"/>
        <v/>
      </c>
      <c r="Z3" s="20" t="s">
        <v>69</v>
      </c>
    </row>
    <row r="4" spans="1:26" ht="15" customHeight="1" x14ac:dyDescent="0.2">
      <c r="A4" s="19">
        <v>2</v>
      </c>
      <c r="B4" s="19" t="s">
        <v>70</v>
      </c>
      <c r="C4" s="19" t="s">
        <v>55</v>
      </c>
      <c r="D4" s="19" t="s">
        <v>56</v>
      </c>
      <c r="E4" s="19" t="s">
        <v>71</v>
      </c>
      <c r="F4" s="19" t="s">
        <v>67</v>
      </c>
      <c r="G4" s="19" t="s">
        <v>59</v>
      </c>
      <c r="H4" s="26"/>
      <c r="I4" s="21"/>
      <c r="J4" s="21"/>
      <c r="K4" s="21"/>
      <c r="L4" s="23" t="str">
        <f>IF(K4="","",K4/Ponderaciones!$B$9)</f>
        <v/>
      </c>
      <c r="M4" s="24" t="str">
        <f t="shared" si="0"/>
        <v/>
      </c>
      <c r="N4" s="21"/>
      <c r="O4" s="24" t="str">
        <f t="shared" si="1"/>
        <v/>
      </c>
      <c r="P4" s="25" t="str">
        <f>IF(L4="","",IF(L4&gt;=Ponderaciones!$B$10,"SÍ","NO"))</f>
        <v/>
      </c>
      <c r="Q4" s="20" t="s">
        <v>72</v>
      </c>
      <c r="R4" s="20" t="s">
        <v>73</v>
      </c>
      <c r="S4" s="26"/>
      <c r="T4" s="26"/>
      <c r="U4" s="26"/>
      <c r="V4" s="26"/>
      <c r="W4" s="26"/>
      <c r="X4" s="27" t="str">
        <f>IF(COUNT(S4:W4)&lt;5,"",S4*Ponderaciones!$B$2+T4*Ponderaciones!$B$3+U4*Ponderaciones!$B$4+V4*Ponderaciones!$B$5+W4*Ponderaciones!$B$6)</f>
        <v/>
      </c>
      <c r="Y4" s="19" t="str">
        <f t="shared" si="2"/>
        <v/>
      </c>
      <c r="Z4" s="20" t="s">
        <v>74</v>
      </c>
    </row>
    <row r="5" spans="1:26" ht="15" customHeight="1" x14ac:dyDescent="0.2">
      <c r="A5" s="19">
        <v>3</v>
      </c>
      <c r="B5" s="19" t="s">
        <v>75</v>
      </c>
      <c r="C5" s="19" t="s">
        <v>55</v>
      </c>
      <c r="D5" s="19" t="s">
        <v>56</v>
      </c>
      <c r="E5" s="19" t="s">
        <v>76</v>
      </c>
      <c r="F5" s="19" t="s">
        <v>77</v>
      </c>
      <c r="G5" s="19" t="s">
        <v>78</v>
      </c>
      <c r="H5" s="26">
        <v>800046226</v>
      </c>
      <c r="I5" s="21">
        <v>130394</v>
      </c>
      <c r="J5" s="21">
        <v>121137</v>
      </c>
      <c r="K5" s="21">
        <v>132179</v>
      </c>
      <c r="L5" s="23">
        <f>IF(K5="","",K5/Ponderaciones!$B$9)</f>
        <v>33.044750000000001</v>
      </c>
      <c r="M5" s="24">
        <f t="shared" si="0"/>
        <v>6.8213745156602279E-3</v>
      </c>
      <c r="N5" s="21">
        <v>27952</v>
      </c>
      <c r="O5" s="24">
        <f t="shared" si="1"/>
        <v>0.21147080852480349</v>
      </c>
      <c r="P5" s="25" t="str">
        <f>IF(L5="","",IF(L5&gt;=Ponderaciones!$B$10,"SÍ","NO"))</f>
        <v>SÍ</v>
      </c>
      <c r="Q5" s="26"/>
      <c r="R5" s="26"/>
      <c r="S5" s="26"/>
      <c r="T5" s="26"/>
      <c r="U5" s="26"/>
      <c r="V5" s="26"/>
      <c r="W5" s="26"/>
      <c r="X5" s="27" t="str">
        <f>IF(COUNT(S5:W5)&lt;5,"",S5*Ponderaciones!$B$2+T5*Ponderaciones!$B$3+U5*Ponderaciones!$B$4+V5*Ponderaciones!$B$5+W5*Ponderaciones!$B$6)</f>
        <v/>
      </c>
      <c r="Y5" s="19" t="str">
        <f t="shared" si="2"/>
        <v/>
      </c>
      <c r="Z5" s="28" t="s">
        <v>79</v>
      </c>
    </row>
    <row r="6" spans="1:26" s="43" customFormat="1" ht="15" customHeight="1" x14ac:dyDescent="0.2">
      <c r="A6" s="35">
        <v>4</v>
      </c>
      <c r="B6" s="35" t="s">
        <v>80</v>
      </c>
      <c r="C6" s="35" t="s">
        <v>55</v>
      </c>
      <c r="D6" s="35" t="s">
        <v>56</v>
      </c>
      <c r="E6" s="35" t="s">
        <v>81</v>
      </c>
      <c r="F6" s="35" t="s">
        <v>77</v>
      </c>
      <c r="G6" s="35" t="s">
        <v>59</v>
      </c>
      <c r="H6" s="36">
        <v>830042244</v>
      </c>
      <c r="I6" s="37">
        <v>82220</v>
      </c>
      <c r="J6" s="37">
        <v>82029</v>
      </c>
      <c r="K6" s="37">
        <v>86377</v>
      </c>
      <c r="L6" s="38">
        <f>IF(K6="","",K6/Ponderaciones!$B$9)</f>
        <v>21.594249999999999</v>
      </c>
      <c r="M6" s="39">
        <f t="shared" si="0"/>
        <v>2.4968035882287465E-2</v>
      </c>
      <c r="N6" s="37">
        <v>25597</v>
      </c>
      <c r="O6" s="39">
        <f t="shared" si="1"/>
        <v>0.29634046100235018</v>
      </c>
      <c r="P6" s="40" t="str">
        <f>IF(L6="","",IF(L6&gt;=Ponderaciones!$B$10,"SÍ","NO"))</f>
        <v>SÍ</v>
      </c>
      <c r="Q6" s="41" t="s">
        <v>82</v>
      </c>
      <c r="R6" s="41" t="s">
        <v>83</v>
      </c>
      <c r="S6" s="36">
        <v>1</v>
      </c>
      <c r="T6" s="36"/>
      <c r="U6" s="36"/>
      <c r="V6" s="36"/>
      <c r="W6" s="36"/>
      <c r="X6" s="42" t="str">
        <f>IF(COUNT(S6:W6)&lt;5,"",S6*Ponderaciones!$B$2+T6*Ponderaciones!$B$3+U6*Ponderaciones!$B$4+V6*Ponderaciones!$B$5+W6*Ponderaciones!$B$6)</f>
        <v/>
      </c>
      <c r="Y6" s="35" t="str">
        <f t="shared" si="2"/>
        <v/>
      </c>
      <c r="Z6" s="41" t="s">
        <v>84</v>
      </c>
    </row>
    <row r="7" spans="1:26" ht="23.25" customHeight="1" x14ac:dyDescent="0.2">
      <c r="A7" s="19">
        <v>5</v>
      </c>
      <c r="B7" s="19" t="s">
        <v>85</v>
      </c>
      <c r="C7" s="19" t="s">
        <v>55</v>
      </c>
      <c r="D7" s="19" t="s">
        <v>65</v>
      </c>
      <c r="E7" s="19" t="s">
        <v>86</v>
      </c>
      <c r="F7" s="19" t="s">
        <v>77</v>
      </c>
      <c r="G7" s="19" t="s">
        <v>59</v>
      </c>
      <c r="H7" s="26">
        <v>811003486</v>
      </c>
      <c r="I7" s="21">
        <v>148198</v>
      </c>
      <c r="J7" s="21">
        <v>184188</v>
      </c>
      <c r="K7" s="21">
        <v>257372</v>
      </c>
      <c r="L7" s="23">
        <f>IF(K7="","",K7/Ponderaciones!$B$9)</f>
        <v>64.343000000000004</v>
      </c>
      <c r="M7" s="24">
        <f t="shared" si="0"/>
        <v>0.31783026536853365</v>
      </c>
      <c r="N7" s="21">
        <v>57588</v>
      </c>
      <c r="O7" s="24">
        <f t="shared" si="1"/>
        <v>0.22375394370794024</v>
      </c>
      <c r="P7" s="25" t="str">
        <f>IF(L7="","",IF(L7&gt;=Ponderaciones!$B$10,"SÍ","NO"))</f>
        <v>SÍ</v>
      </c>
      <c r="Q7" s="26"/>
      <c r="R7" s="26"/>
      <c r="S7" s="26"/>
      <c r="T7" s="26"/>
      <c r="U7" s="26"/>
      <c r="V7" s="26"/>
      <c r="W7" s="26"/>
      <c r="X7" s="27" t="str">
        <f>IF(COUNT(S7:W7)&lt;5,"",S7*Ponderaciones!$B$2+T7*Ponderaciones!$B$3+U7*Ponderaciones!$B$4+V7*Ponderaciones!$B$5+W7*Ponderaciones!$B$6)</f>
        <v/>
      </c>
      <c r="Y7" s="19" t="str">
        <f t="shared" si="2"/>
        <v/>
      </c>
      <c r="Z7" s="28" t="s">
        <v>87</v>
      </c>
    </row>
    <row r="8" spans="1:26" ht="15" customHeight="1" x14ac:dyDescent="0.2">
      <c r="A8" s="19">
        <v>6</v>
      </c>
      <c r="B8" s="19" t="s">
        <v>88</v>
      </c>
      <c r="C8" s="19" t="s">
        <v>55</v>
      </c>
      <c r="D8" s="19" t="s">
        <v>56</v>
      </c>
      <c r="E8" s="19" t="s">
        <v>89</v>
      </c>
      <c r="F8" s="19" t="s">
        <v>67</v>
      </c>
      <c r="G8" s="19" t="s">
        <v>90</v>
      </c>
      <c r="H8" s="26"/>
      <c r="I8" s="21"/>
      <c r="J8" s="21"/>
      <c r="K8" s="21"/>
      <c r="L8" s="23" t="str">
        <f>IF(K8="","",K8/Ponderaciones!$B$9)</f>
        <v/>
      </c>
      <c r="M8" s="24" t="str">
        <f t="shared" si="0"/>
        <v/>
      </c>
      <c r="N8" s="21"/>
      <c r="O8" s="24" t="str">
        <f t="shared" si="1"/>
        <v/>
      </c>
      <c r="P8" s="25" t="str">
        <f>IF(L8="","",IF(L8&gt;=Ponderaciones!$B$10,"SÍ","NO"))</f>
        <v/>
      </c>
      <c r="Q8" s="26"/>
      <c r="R8" s="26"/>
      <c r="S8" s="26"/>
      <c r="T8" s="26"/>
      <c r="U8" s="26"/>
      <c r="V8" s="26"/>
      <c r="W8" s="26"/>
      <c r="X8" s="27" t="str">
        <f>IF(COUNT(S8:W8)&lt;5,"",S8*Ponderaciones!$B$2+T8*Ponderaciones!$B$3+U8*Ponderaciones!$B$4+V8*Ponderaciones!$B$5+W8*Ponderaciones!$B$6)</f>
        <v/>
      </c>
      <c r="Y8" s="19" t="str">
        <f t="shared" si="2"/>
        <v/>
      </c>
      <c r="Z8" s="26"/>
    </row>
    <row r="9" spans="1:26" ht="15" customHeight="1" x14ac:dyDescent="0.2">
      <c r="A9" s="19">
        <v>7</v>
      </c>
      <c r="B9" s="19" t="s">
        <v>91</v>
      </c>
      <c r="C9" s="19" t="s">
        <v>55</v>
      </c>
      <c r="D9" s="19" t="s">
        <v>56</v>
      </c>
      <c r="E9" s="19" t="s">
        <v>92</v>
      </c>
      <c r="F9" s="19" t="s">
        <v>67</v>
      </c>
      <c r="G9" s="19" t="s">
        <v>90</v>
      </c>
      <c r="H9" s="26">
        <v>811009452</v>
      </c>
      <c r="I9" s="21">
        <v>12880</v>
      </c>
      <c r="J9" s="21">
        <v>15954</v>
      </c>
      <c r="K9" s="21">
        <v>18610</v>
      </c>
      <c r="L9" s="23">
        <f>IF(K9="","",K9/Ponderaciones!$B$9)</f>
        <v>4.6524999999999999</v>
      </c>
      <c r="M9" s="24">
        <f t="shared" si="0"/>
        <v>0.20202985669970586</v>
      </c>
      <c r="N9" s="21">
        <v>4208</v>
      </c>
      <c r="O9" s="24">
        <f t="shared" si="1"/>
        <v>0.22611499193981729</v>
      </c>
      <c r="P9" s="25" t="str">
        <f>IF(L9="","",IF(L9&gt;=Ponderaciones!$B$10,"SÍ","NO"))</f>
        <v>NO</v>
      </c>
      <c r="Q9" s="26"/>
      <c r="R9" s="26"/>
      <c r="S9" s="26"/>
      <c r="T9" s="26"/>
      <c r="U9" s="26"/>
      <c r="V9" s="26"/>
      <c r="W9" s="26"/>
      <c r="X9" s="27" t="str">
        <f>IF(COUNT(S9:W9)&lt;5,"",S9*Ponderaciones!$B$2+T9*Ponderaciones!$B$3+U9*Ponderaciones!$B$4+V9*Ponderaciones!$B$5+W9*Ponderaciones!$B$6)</f>
        <v/>
      </c>
      <c r="Y9" s="19" t="str">
        <f t="shared" si="2"/>
        <v/>
      </c>
      <c r="Z9" s="26"/>
    </row>
    <row r="10" spans="1:26" ht="15" customHeight="1" x14ac:dyDescent="0.2">
      <c r="A10" s="19">
        <v>8</v>
      </c>
      <c r="B10" s="19" t="s">
        <v>171</v>
      </c>
      <c r="C10" s="19" t="s">
        <v>55</v>
      </c>
      <c r="D10" s="19" t="s">
        <v>56</v>
      </c>
      <c r="E10" s="19" t="s">
        <v>93</v>
      </c>
      <c r="F10" s="19" t="s">
        <v>77</v>
      </c>
      <c r="G10" s="19" t="s">
        <v>59</v>
      </c>
      <c r="H10" s="26">
        <v>830062674</v>
      </c>
      <c r="I10" s="21">
        <v>67710</v>
      </c>
      <c r="J10" s="21">
        <v>106176</v>
      </c>
      <c r="K10" s="21">
        <v>97421</v>
      </c>
      <c r="L10" s="23">
        <f>IF(K10="","",K10/Ponderaciones!$B$9)</f>
        <v>24.355250000000002</v>
      </c>
      <c r="M10" s="24">
        <f t="shared" si="0"/>
        <v>0.1994989846630344</v>
      </c>
      <c r="N10" s="21">
        <v>6247</v>
      </c>
      <c r="O10" s="24">
        <f t="shared" si="1"/>
        <v>6.4123751552540006E-2</v>
      </c>
      <c r="P10" s="25" t="str">
        <f>IF(L10="","",IF(L10&gt;=Ponderaciones!$B$10,"SÍ","NO"))</f>
        <v>SÍ</v>
      </c>
      <c r="Q10" s="20" t="s">
        <v>94</v>
      </c>
      <c r="R10" s="20" t="s">
        <v>95</v>
      </c>
      <c r="S10" s="26"/>
      <c r="T10" s="26"/>
      <c r="U10" s="26"/>
      <c r="V10" s="26"/>
      <c r="W10" s="26"/>
      <c r="X10" s="27" t="str">
        <f>IF(COUNT(S10:W10)&lt;5,"",S10*Ponderaciones!$B$2+T10*Ponderaciones!$B$3+U10*Ponderaciones!$B$4+V10*Ponderaciones!$B$5+W10*Ponderaciones!$B$6)</f>
        <v/>
      </c>
      <c r="Y10" s="19" t="str">
        <f t="shared" si="2"/>
        <v/>
      </c>
      <c r="Z10" s="20" t="s">
        <v>96</v>
      </c>
    </row>
    <row r="11" spans="1:26" s="43" customFormat="1" ht="15" customHeight="1" x14ac:dyDescent="0.2">
      <c r="A11" s="35">
        <v>9</v>
      </c>
      <c r="B11" s="35" t="s">
        <v>97</v>
      </c>
      <c r="C11" s="35" t="s">
        <v>55</v>
      </c>
      <c r="D11" s="35" t="s">
        <v>98</v>
      </c>
      <c r="E11" s="35" t="s">
        <v>99</v>
      </c>
      <c r="F11" s="35" t="s">
        <v>77</v>
      </c>
      <c r="G11" s="35" t="s">
        <v>59</v>
      </c>
      <c r="H11" s="36"/>
      <c r="I11" s="37"/>
      <c r="J11" s="37"/>
      <c r="K11" s="37"/>
      <c r="L11" s="38" t="str">
        <f>IF(K11="","",K11/Ponderaciones!$B$9)</f>
        <v/>
      </c>
      <c r="M11" s="39" t="str">
        <f t="shared" si="0"/>
        <v/>
      </c>
      <c r="N11" s="37"/>
      <c r="O11" s="39" t="str">
        <f t="shared" si="1"/>
        <v/>
      </c>
      <c r="P11" s="40" t="str">
        <f>IF(L11="","",IF(L11&gt;=Ponderaciones!$B$10,"SÍ","NO"))</f>
        <v/>
      </c>
      <c r="Q11" s="41" t="s">
        <v>100</v>
      </c>
      <c r="R11" s="41" t="s">
        <v>101</v>
      </c>
      <c r="S11" s="36">
        <v>1</v>
      </c>
      <c r="T11" s="36"/>
      <c r="U11" s="36"/>
      <c r="V11" s="36"/>
      <c r="W11" s="36"/>
      <c r="X11" s="42" t="str">
        <f>IF(COUNT(S11:W11)&lt;5,"",S11*Ponderaciones!$B$2+T11*Ponderaciones!$B$3+U11*Ponderaciones!$B$4+V11*Ponderaciones!$B$5+W11*Ponderaciones!$B$6)</f>
        <v/>
      </c>
      <c r="Y11" s="35" t="str">
        <f t="shared" si="2"/>
        <v/>
      </c>
      <c r="Z11" s="41" t="s">
        <v>102</v>
      </c>
    </row>
    <row r="12" spans="1:26" ht="15" customHeight="1" x14ac:dyDescent="0.2">
      <c r="A12" s="19">
        <v>10</v>
      </c>
      <c r="B12" s="19" t="s">
        <v>103</v>
      </c>
      <c r="C12" s="19" t="s">
        <v>55</v>
      </c>
      <c r="D12" s="19" t="s">
        <v>56</v>
      </c>
      <c r="E12" s="19" t="s">
        <v>104</v>
      </c>
      <c r="F12" s="19" t="s">
        <v>67</v>
      </c>
      <c r="G12" s="19" t="s">
        <v>59</v>
      </c>
      <c r="H12" s="26">
        <v>830021894</v>
      </c>
      <c r="I12" s="21">
        <v>39854</v>
      </c>
      <c r="J12" s="21">
        <v>46100</v>
      </c>
      <c r="K12" s="21">
        <v>57310</v>
      </c>
      <c r="L12" s="23">
        <f>IF(K12="","",K12/Ponderaciones!$B$9)</f>
        <v>14.327500000000001</v>
      </c>
      <c r="M12" s="24">
        <f t="shared" si="0"/>
        <v>0.19916583308465619</v>
      </c>
      <c r="N12" s="21">
        <v>15664</v>
      </c>
      <c r="O12" s="24">
        <f t="shared" si="1"/>
        <v>0.27332053742802304</v>
      </c>
      <c r="P12" s="25" t="str">
        <f>IF(L12="","",IF(L12&gt;=Ponderaciones!$B$10,"SÍ","NO"))</f>
        <v>SÍ</v>
      </c>
      <c r="Q12" s="26"/>
      <c r="R12" s="26"/>
      <c r="S12" s="26"/>
      <c r="T12" s="26"/>
      <c r="U12" s="26"/>
      <c r="V12" s="26"/>
      <c r="W12" s="26"/>
      <c r="X12" s="27" t="str">
        <f>IF(COUNT(S12:W12)&lt;5,"",S12*Ponderaciones!$B$2+T12*Ponderaciones!$B$3+U12*Ponderaciones!$B$4+V12*Ponderaciones!$B$5+W12*Ponderaciones!$B$6)</f>
        <v/>
      </c>
      <c r="Y12" s="19" t="str">
        <f t="shared" si="2"/>
        <v/>
      </c>
      <c r="Z12" s="26"/>
    </row>
    <row r="13" spans="1:26" ht="15" customHeight="1" x14ac:dyDescent="0.2">
      <c r="A13" s="19">
        <v>11</v>
      </c>
      <c r="B13" s="19" t="s">
        <v>105</v>
      </c>
      <c r="C13" s="19" t="s">
        <v>55</v>
      </c>
      <c r="D13" s="19" t="s">
        <v>56</v>
      </c>
      <c r="E13" s="19" t="s">
        <v>104</v>
      </c>
      <c r="F13" s="19" t="s">
        <v>67</v>
      </c>
      <c r="G13" s="19" t="s">
        <v>59</v>
      </c>
      <c r="H13" s="26">
        <v>800028326</v>
      </c>
      <c r="I13" s="21">
        <v>25939</v>
      </c>
      <c r="J13" s="21">
        <v>27464</v>
      </c>
      <c r="K13" s="21">
        <v>30667</v>
      </c>
      <c r="L13" s="23">
        <f>IF(K13="","",K13/Ponderaciones!$B$9)</f>
        <v>7.6667500000000004</v>
      </c>
      <c r="M13" s="24">
        <f t="shared" si="0"/>
        <v>8.7324144960551742E-2</v>
      </c>
      <c r="N13" s="21">
        <v>5613</v>
      </c>
      <c r="O13" s="24">
        <f t="shared" si="1"/>
        <v>0.18303061923239966</v>
      </c>
      <c r="P13" s="25" t="str">
        <f>IF(L13="","",IF(L13&gt;=Ponderaciones!$B$10,"SÍ","NO"))</f>
        <v>NO</v>
      </c>
      <c r="Q13" s="26"/>
      <c r="R13" s="26"/>
      <c r="S13" s="26"/>
      <c r="T13" s="26"/>
      <c r="U13" s="26"/>
      <c r="V13" s="26"/>
      <c r="W13" s="26"/>
      <c r="X13" s="27" t="str">
        <f>IF(COUNT(S13:W13)&lt;5,"",S13*Ponderaciones!$B$2+T13*Ponderaciones!$B$3+U13*Ponderaciones!$B$4+V13*Ponderaciones!$B$5+W13*Ponderaciones!$B$6)</f>
        <v/>
      </c>
      <c r="Y13" s="19" t="str">
        <f t="shared" si="2"/>
        <v/>
      </c>
      <c r="Z13" s="26"/>
    </row>
    <row r="14" spans="1:26" ht="15" customHeight="1" x14ac:dyDescent="0.2">
      <c r="A14" s="19">
        <v>12</v>
      </c>
      <c r="B14" s="19" t="s">
        <v>106</v>
      </c>
      <c r="C14" s="19" t="s">
        <v>55</v>
      </c>
      <c r="D14" s="19" t="s">
        <v>56</v>
      </c>
      <c r="E14" s="19" t="s">
        <v>107</v>
      </c>
      <c r="F14" s="19" t="s">
        <v>77</v>
      </c>
      <c r="G14" s="19" t="s">
        <v>108</v>
      </c>
      <c r="H14" s="26">
        <v>830031757</v>
      </c>
      <c r="I14" s="21">
        <v>121745</v>
      </c>
      <c r="J14" s="21">
        <v>126372</v>
      </c>
      <c r="K14" s="21">
        <v>175553</v>
      </c>
      <c r="L14" s="23">
        <f>IF(K14="","",K14/Ponderaciones!$B$9)</f>
        <v>43.888249999999999</v>
      </c>
      <c r="M14" s="24">
        <f t="shared" si="0"/>
        <v>0.20082179206696948</v>
      </c>
      <c r="N14" s="21">
        <v>19419</v>
      </c>
      <c r="O14" s="24">
        <f t="shared" si="1"/>
        <v>0.11061616719737059</v>
      </c>
      <c r="P14" s="25" t="str">
        <f>IF(L14="","",IF(L14&gt;=Ponderaciones!$B$10,"SÍ","NO"))</f>
        <v>SÍ</v>
      </c>
      <c r="Q14" s="26"/>
      <c r="R14" s="26"/>
      <c r="S14" s="26"/>
      <c r="T14" s="26"/>
      <c r="U14" s="26"/>
      <c r="V14" s="26"/>
      <c r="W14" s="26"/>
      <c r="X14" s="27" t="str">
        <f>IF(COUNT(S14:W14)&lt;5,"",S14*Ponderaciones!$B$2+T14*Ponderaciones!$B$3+U14*Ponderaciones!$B$4+V14*Ponderaciones!$B$5+W14*Ponderaciones!$B$6)</f>
        <v/>
      </c>
      <c r="Y14" s="19" t="str">
        <f t="shared" si="2"/>
        <v/>
      </c>
      <c r="Z14" s="26"/>
    </row>
    <row r="15" spans="1:26" ht="15" customHeight="1" x14ac:dyDescent="0.2">
      <c r="A15" s="19">
        <v>13</v>
      </c>
      <c r="B15" s="19" t="s">
        <v>109</v>
      </c>
      <c r="C15" s="19" t="s">
        <v>55</v>
      </c>
      <c r="D15" s="19" t="s">
        <v>65</v>
      </c>
      <c r="E15" s="19" t="s">
        <v>110</v>
      </c>
      <c r="F15" s="19" t="s">
        <v>77</v>
      </c>
      <c r="G15" s="19" t="s">
        <v>111</v>
      </c>
      <c r="H15" s="26">
        <v>900022972</v>
      </c>
      <c r="I15" s="21">
        <v>91353</v>
      </c>
      <c r="J15" s="21">
        <v>95533</v>
      </c>
      <c r="K15" s="21">
        <v>109218</v>
      </c>
      <c r="L15" s="23">
        <f>IF(K15="","",K15/Ponderaciones!$B$9)</f>
        <v>27.304500000000001</v>
      </c>
      <c r="M15" s="24">
        <f t="shared" si="0"/>
        <v>9.3416700132539221E-2</v>
      </c>
      <c r="N15" s="21">
        <v>11131</v>
      </c>
      <c r="O15" s="24">
        <f t="shared" si="1"/>
        <v>0.10191543518467652</v>
      </c>
      <c r="P15" s="25" t="str">
        <f>IF(L15="","",IF(L15&gt;=Ponderaciones!$B$10,"SÍ","NO"))</f>
        <v>SÍ</v>
      </c>
      <c r="Q15" s="26"/>
      <c r="R15" s="26"/>
      <c r="S15" s="26"/>
      <c r="T15" s="26"/>
      <c r="U15" s="26"/>
      <c r="V15" s="26"/>
      <c r="W15" s="26"/>
      <c r="X15" s="27" t="str">
        <f>IF(COUNT(S15:W15)&lt;5,"",S15*Ponderaciones!$B$2+T15*Ponderaciones!$B$3+U15*Ponderaciones!$B$4+V15*Ponderaciones!$B$5+W15*Ponderaciones!$B$6)</f>
        <v/>
      </c>
      <c r="Y15" s="19" t="str">
        <f t="shared" si="2"/>
        <v/>
      </c>
      <c r="Z15" s="26"/>
    </row>
    <row r="16" spans="1:26" ht="15" customHeight="1" x14ac:dyDescent="0.2">
      <c r="A16" s="19">
        <v>14</v>
      </c>
      <c r="B16" s="19" t="s">
        <v>112</v>
      </c>
      <c r="C16" s="19" t="s">
        <v>55</v>
      </c>
      <c r="D16" s="19" t="s">
        <v>65</v>
      </c>
      <c r="E16" s="19" t="s">
        <v>110</v>
      </c>
      <c r="F16" s="19" t="s">
        <v>77</v>
      </c>
      <c r="G16" s="19" t="s">
        <v>111</v>
      </c>
      <c r="H16" s="26">
        <v>811004057</v>
      </c>
      <c r="I16" s="21">
        <v>143990</v>
      </c>
      <c r="J16" s="21">
        <v>169397</v>
      </c>
      <c r="K16" s="21">
        <v>197830</v>
      </c>
      <c r="L16" s="23">
        <f>IF(K16="","",K16/Ponderaciones!$B$9)</f>
        <v>49.457500000000003</v>
      </c>
      <c r="M16" s="24">
        <f t="shared" si="0"/>
        <v>0.17214114132994984</v>
      </c>
      <c r="N16" s="21">
        <v>5206</v>
      </c>
      <c r="O16" s="24">
        <f t="shared" si="1"/>
        <v>2.6315523429206896E-2</v>
      </c>
      <c r="P16" s="25" t="str">
        <f>IF(L16="","",IF(L16&gt;=Ponderaciones!$B$10,"SÍ","NO"))</f>
        <v>SÍ</v>
      </c>
      <c r="Q16" s="26"/>
      <c r="R16" s="26"/>
      <c r="S16" s="26"/>
      <c r="T16" s="26"/>
      <c r="U16" s="26"/>
      <c r="V16" s="26"/>
      <c r="W16" s="26"/>
      <c r="X16" s="27" t="str">
        <f>IF(COUNT(S16:W16)&lt;5,"",S16*Ponderaciones!$B$2+T16*Ponderaciones!$B$3+U16*Ponderaciones!$B$4+V16*Ponderaciones!$B$5+W16*Ponderaciones!$B$6)</f>
        <v/>
      </c>
      <c r="Y16" s="19" t="str">
        <f t="shared" si="2"/>
        <v/>
      </c>
      <c r="Z16" s="26"/>
    </row>
    <row r="17" spans="1:26" ht="15" customHeight="1" x14ac:dyDescent="0.2">
      <c r="A17" s="19">
        <v>15</v>
      </c>
      <c r="B17" s="19" t="s">
        <v>113</v>
      </c>
      <c r="C17" s="19" t="s">
        <v>55</v>
      </c>
      <c r="D17" s="19" t="s">
        <v>65</v>
      </c>
      <c r="E17" s="19" t="s">
        <v>110</v>
      </c>
      <c r="F17" s="19" t="s">
        <v>77</v>
      </c>
      <c r="G17" s="19" t="s">
        <v>111</v>
      </c>
      <c r="H17" s="26">
        <v>900620832</v>
      </c>
      <c r="I17" s="21">
        <v>99974</v>
      </c>
      <c r="J17" s="21">
        <v>109123</v>
      </c>
      <c r="K17" s="21">
        <v>110734</v>
      </c>
      <c r="L17" s="23">
        <f>IF(K17="","",K17/Ponderaciones!$B$9)</f>
        <v>27.683499999999999</v>
      </c>
      <c r="M17" s="24">
        <f t="shared" si="0"/>
        <v>5.2439063925152629E-2</v>
      </c>
      <c r="N17" s="21">
        <v>2008</v>
      </c>
      <c r="O17" s="24">
        <f t="shared" si="1"/>
        <v>1.8133545252587282E-2</v>
      </c>
      <c r="P17" s="25" t="str">
        <f>IF(L17="","",IF(L17&gt;=Ponderaciones!$B$10,"SÍ","NO"))</f>
        <v>SÍ</v>
      </c>
      <c r="Q17" s="26"/>
      <c r="R17" s="26"/>
      <c r="S17" s="26"/>
      <c r="T17" s="26"/>
      <c r="U17" s="26"/>
      <c r="V17" s="26"/>
      <c r="W17" s="26"/>
      <c r="X17" s="27" t="str">
        <f>IF(COUNT(S17:W17)&lt;5,"",S17*Ponderaciones!$B$2+T17*Ponderaciones!$B$3+U17*Ponderaciones!$B$4+V17*Ponderaciones!$B$5+W17*Ponderaciones!$B$6)</f>
        <v/>
      </c>
      <c r="Y17" s="19" t="str">
        <f t="shared" si="2"/>
        <v/>
      </c>
      <c r="Z17" s="26"/>
    </row>
    <row r="18" spans="1:26" ht="15" customHeight="1" x14ac:dyDescent="0.2">
      <c r="A18" s="19">
        <v>16</v>
      </c>
      <c r="B18" s="19" t="s">
        <v>114</v>
      </c>
      <c r="C18" s="19" t="s">
        <v>55</v>
      </c>
      <c r="D18" s="19" t="s">
        <v>56</v>
      </c>
      <c r="E18" s="19" t="s">
        <v>110</v>
      </c>
      <c r="F18" s="19" t="s">
        <v>77</v>
      </c>
      <c r="G18" s="19" t="s">
        <v>111</v>
      </c>
      <c r="H18" s="26">
        <v>800135532</v>
      </c>
      <c r="I18" s="21">
        <v>70033</v>
      </c>
      <c r="J18" s="21">
        <v>72202</v>
      </c>
      <c r="K18" s="21">
        <v>39508</v>
      </c>
      <c r="L18" s="23">
        <f>IF(K18="","",K18/Ponderaciones!$B$9)</f>
        <v>9.8770000000000007</v>
      </c>
      <c r="M18" s="24">
        <f t="shared" si="0"/>
        <v>-0.24891142260702681</v>
      </c>
      <c r="N18" s="21">
        <v>5191</v>
      </c>
      <c r="O18" s="24">
        <f t="shared" si="1"/>
        <v>0.13139111066113193</v>
      </c>
      <c r="P18" s="25" t="str">
        <f>IF(L18="","",IF(L18&gt;=Ponderaciones!$B$10,"SÍ","NO"))</f>
        <v>NO</v>
      </c>
      <c r="Q18" s="26"/>
      <c r="R18" s="26"/>
      <c r="S18" s="26"/>
      <c r="T18" s="26"/>
      <c r="U18" s="26"/>
      <c r="V18" s="26"/>
      <c r="W18" s="26"/>
      <c r="X18" s="27" t="str">
        <f>IF(COUNT(S18:W18)&lt;5,"",S18*Ponderaciones!$B$2+T18*Ponderaciones!$B$3+U18*Ponderaciones!$B$4+V18*Ponderaciones!$B$5+W18*Ponderaciones!$B$6)</f>
        <v/>
      </c>
      <c r="Y18" s="19" t="str">
        <f t="shared" si="2"/>
        <v/>
      </c>
      <c r="Z18" s="26"/>
    </row>
    <row r="19" spans="1:26" ht="15" customHeight="1" x14ac:dyDescent="0.2">
      <c r="A19" s="19">
        <v>17</v>
      </c>
      <c r="B19" s="19" t="s">
        <v>115</v>
      </c>
      <c r="C19" s="19" t="s">
        <v>55</v>
      </c>
      <c r="D19" s="19" t="s">
        <v>56</v>
      </c>
      <c r="E19" s="19" t="s">
        <v>116</v>
      </c>
      <c r="F19" s="19" t="s">
        <v>67</v>
      </c>
      <c r="G19" s="19" t="s">
        <v>58</v>
      </c>
      <c r="H19" s="26">
        <v>900559088</v>
      </c>
      <c r="I19" s="21">
        <v>38409</v>
      </c>
      <c r="J19" s="21">
        <v>53710</v>
      </c>
      <c r="K19" s="21">
        <v>68932945</v>
      </c>
      <c r="L19" s="23">
        <f>IF(K19="","",K19/Ponderaciones!$B$9)</f>
        <v>17233.236250000002</v>
      </c>
      <c r="M19" s="24">
        <f t="shared" si="0"/>
        <v>41.363995813910712</v>
      </c>
      <c r="N19" s="21">
        <v>10186</v>
      </c>
      <c r="O19" s="24">
        <f t="shared" si="1"/>
        <v>1.4776678988544592E-4</v>
      </c>
      <c r="P19" s="25" t="str">
        <f>IF(L19="","",IF(L19&gt;=Ponderaciones!$B$10,"SÍ","NO"))</f>
        <v>SÍ</v>
      </c>
      <c r="Q19" s="26"/>
      <c r="R19" s="26"/>
      <c r="S19" s="26"/>
      <c r="T19" s="26"/>
      <c r="U19" s="26"/>
      <c r="V19" s="26"/>
      <c r="W19" s="26"/>
      <c r="X19" s="27" t="str">
        <f>IF(COUNT(S19:W19)&lt;5,"",S19*Ponderaciones!$B$2+T19*Ponderaciones!$B$3+U19*Ponderaciones!$B$4+V19*Ponderaciones!$B$5+W19*Ponderaciones!$B$6)</f>
        <v/>
      </c>
      <c r="Y19" s="19" t="str">
        <f t="shared" si="2"/>
        <v/>
      </c>
      <c r="Z19" s="26" t="s">
        <v>172</v>
      </c>
    </row>
    <row r="20" spans="1:26" ht="15" customHeight="1" x14ac:dyDescent="0.2">
      <c r="A20" s="19">
        <v>18</v>
      </c>
      <c r="B20" s="19" t="s">
        <v>117</v>
      </c>
      <c r="C20" s="19" t="s">
        <v>118</v>
      </c>
      <c r="D20" s="19" t="s">
        <v>98</v>
      </c>
      <c r="E20" s="19" t="s">
        <v>119</v>
      </c>
      <c r="F20" s="19" t="s">
        <v>77</v>
      </c>
      <c r="G20" s="19" t="s">
        <v>120</v>
      </c>
      <c r="H20" s="26"/>
      <c r="I20" s="21"/>
      <c r="J20" s="21"/>
      <c r="K20" s="21"/>
      <c r="L20" s="23" t="str">
        <f>IF(K20="","",K20/Ponderaciones!$B$9)</f>
        <v/>
      </c>
      <c r="M20" s="24" t="str">
        <f t="shared" si="0"/>
        <v/>
      </c>
      <c r="N20" s="21"/>
      <c r="O20" s="24" t="str">
        <f t="shared" si="1"/>
        <v/>
      </c>
      <c r="P20" s="25" t="str">
        <f>IF(L20="","",IF(L20&gt;=Ponderaciones!$B$10,"SÍ","NO"))</f>
        <v/>
      </c>
      <c r="Q20" s="26"/>
      <c r="R20" s="26"/>
      <c r="S20" s="26"/>
      <c r="T20" s="26"/>
      <c r="U20" s="26"/>
      <c r="V20" s="26"/>
      <c r="W20" s="26"/>
      <c r="X20" s="27" t="str">
        <f>IF(COUNT(S20:W20)&lt;5,"",S20*Ponderaciones!$B$2+T20*Ponderaciones!$B$3+U20*Ponderaciones!$B$4+V20*Ponderaciones!$B$5+W20*Ponderaciones!$B$6)</f>
        <v/>
      </c>
      <c r="Y20" s="19" t="str">
        <f t="shared" si="2"/>
        <v/>
      </c>
      <c r="Z20" s="26"/>
    </row>
    <row r="21" spans="1:26" ht="15" customHeight="1" x14ac:dyDescent="0.2">
      <c r="A21" s="19">
        <v>19</v>
      </c>
      <c r="B21" s="19" t="s">
        <v>121</v>
      </c>
      <c r="C21" s="19" t="s">
        <v>118</v>
      </c>
      <c r="D21" s="19" t="s">
        <v>65</v>
      </c>
      <c r="E21" s="19" t="s">
        <v>122</v>
      </c>
      <c r="F21" s="19" t="s">
        <v>67</v>
      </c>
      <c r="G21" s="19" t="s">
        <v>120</v>
      </c>
      <c r="H21" s="26"/>
      <c r="I21" s="21"/>
      <c r="J21" s="21"/>
      <c r="K21" s="21"/>
      <c r="L21" s="23" t="str">
        <f>IF(K21="","",K21/Ponderaciones!$B$9)</f>
        <v/>
      </c>
      <c r="M21" s="24" t="str">
        <f t="shared" si="0"/>
        <v/>
      </c>
      <c r="N21" s="21"/>
      <c r="O21" s="24" t="str">
        <f t="shared" si="1"/>
        <v/>
      </c>
      <c r="P21" s="25" t="str">
        <f>IF(L21="","",IF(L21&gt;=Ponderaciones!$B$10,"SÍ","NO"))</f>
        <v/>
      </c>
      <c r="Q21" s="26"/>
      <c r="R21" s="26"/>
      <c r="S21" s="26"/>
      <c r="T21" s="26"/>
      <c r="U21" s="26"/>
      <c r="V21" s="26"/>
      <c r="W21" s="26"/>
      <c r="X21" s="27" t="str">
        <f>IF(COUNT(S21:W21)&lt;5,"",S21*Ponderaciones!$B$2+T21*Ponderaciones!$B$3+U21*Ponderaciones!$B$4+V21*Ponderaciones!$B$5+W21*Ponderaciones!$B$6)</f>
        <v/>
      </c>
      <c r="Y21" s="19" t="str">
        <f t="shared" si="2"/>
        <v/>
      </c>
      <c r="Z21" s="26"/>
    </row>
    <row r="22" spans="1:26" s="43" customFormat="1" ht="15" customHeight="1" x14ac:dyDescent="0.2">
      <c r="A22" s="35">
        <v>20</v>
      </c>
      <c r="B22" s="35" t="s">
        <v>123</v>
      </c>
      <c r="C22" s="35" t="s">
        <v>118</v>
      </c>
      <c r="D22" s="35" t="s">
        <v>124</v>
      </c>
      <c r="E22" s="35" t="s">
        <v>125</v>
      </c>
      <c r="F22" s="35" t="s">
        <v>77</v>
      </c>
      <c r="G22" s="35" t="s">
        <v>120</v>
      </c>
      <c r="H22" s="36"/>
      <c r="I22" s="37"/>
      <c r="J22" s="37"/>
      <c r="K22" s="37"/>
      <c r="L22" s="38" t="str">
        <f>IF(K22="","",K22/Ponderaciones!$B$9)</f>
        <v/>
      </c>
      <c r="M22" s="39" t="str">
        <f t="shared" si="0"/>
        <v/>
      </c>
      <c r="N22" s="37"/>
      <c r="O22" s="39" t="str">
        <f t="shared" si="1"/>
        <v/>
      </c>
      <c r="P22" s="40" t="str">
        <f>IF(L22="","",IF(L22&gt;=Ponderaciones!$B$10,"SÍ","NO"))</f>
        <v/>
      </c>
      <c r="Q22" s="41" t="s">
        <v>126</v>
      </c>
      <c r="R22" s="41" t="s">
        <v>127</v>
      </c>
      <c r="S22" s="36">
        <v>1</v>
      </c>
      <c r="T22" s="36"/>
      <c r="U22" s="36"/>
      <c r="V22" s="36"/>
      <c r="W22" s="36"/>
      <c r="X22" s="42" t="str">
        <f>IF(COUNT(S22:W22)&lt;5,"",S22*Ponderaciones!$B$2+T22*Ponderaciones!$B$3+U22*Ponderaciones!$B$4+V22*Ponderaciones!$B$5+W22*Ponderaciones!$B$6)</f>
        <v/>
      </c>
      <c r="Y22" s="35" t="str">
        <f t="shared" si="2"/>
        <v/>
      </c>
      <c r="Z22" s="41" t="s">
        <v>128</v>
      </c>
    </row>
    <row r="23" spans="1:26" ht="15" customHeight="1" x14ac:dyDescent="0.2">
      <c r="A23" s="19">
        <v>21</v>
      </c>
      <c r="B23" s="19" t="s">
        <v>129</v>
      </c>
      <c r="C23" s="19" t="s">
        <v>118</v>
      </c>
      <c r="D23" s="19" t="s">
        <v>130</v>
      </c>
      <c r="E23" s="19" t="s">
        <v>131</v>
      </c>
      <c r="F23" s="19" t="s">
        <v>77</v>
      </c>
      <c r="G23" s="19" t="s">
        <v>120</v>
      </c>
      <c r="H23" s="26"/>
      <c r="I23" s="21"/>
      <c r="J23" s="21"/>
      <c r="K23" s="21"/>
      <c r="L23" s="23" t="str">
        <f>IF(K23="","",K23/Ponderaciones!$B$9)</f>
        <v/>
      </c>
      <c r="M23" s="24" t="str">
        <f t="shared" si="0"/>
        <v/>
      </c>
      <c r="N23" s="21"/>
      <c r="O23" s="24" t="str">
        <f t="shared" si="1"/>
        <v/>
      </c>
      <c r="P23" s="25" t="str">
        <f>IF(L23="","",IF(L23&gt;=Ponderaciones!$B$10,"SÍ","NO"))</f>
        <v/>
      </c>
      <c r="Q23" s="26"/>
      <c r="R23" s="26"/>
      <c r="S23" s="26"/>
      <c r="T23" s="26"/>
      <c r="U23" s="26"/>
      <c r="V23" s="26"/>
      <c r="W23" s="26"/>
      <c r="X23" s="27" t="str">
        <f>IF(COUNT(S23:W23)&lt;5,"",S23*Ponderaciones!$B$2+T23*Ponderaciones!$B$3+U23*Ponderaciones!$B$4+V23*Ponderaciones!$B$5+W23*Ponderaciones!$B$6)</f>
        <v/>
      </c>
      <c r="Y23" s="19" t="str">
        <f t="shared" si="2"/>
        <v/>
      </c>
      <c r="Z23" s="26"/>
    </row>
    <row r="24" spans="1:26" ht="15" customHeight="1" x14ac:dyDescent="0.2">
      <c r="A24" s="19">
        <v>22</v>
      </c>
      <c r="B24" s="19" t="s">
        <v>132</v>
      </c>
      <c r="C24" s="19" t="s">
        <v>118</v>
      </c>
      <c r="D24" s="19" t="s">
        <v>130</v>
      </c>
      <c r="E24" s="19" t="s">
        <v>131</v>
      </c>
      <c r="F24" s="19" t="s">
        <v>77</v>
      </c>
      <c r="G24" s="19" t="s">
        <v>120</v>
      </c>
      <c r="H24" s="26"/>
      <c r="I24" s="21"/>
      <c r="J24" s="21"/>
      <c r="K24" s="21"/>
      <c r="L24" s="23" t="str">
        <f>IF(K24="","",K24/Ponderaciones!$B$9)</f>
        <v/>
      </c>
      <c r="M24" s="24" t="str">
        <f t="shared" si="0"/>
        <v/>
      </c>
      <c r="N24" s="21"/>
      <c r="O24" s="24" t="str">
        <f t="shared" si="1"/>
        <v/>
      </c>
      <c r="P24" s="25" t="str">
        <f>IF(L24="","",IF(L24&gt;=Ponderaciones!$B$10,"SÍ","NO"))</f>
        <v/>
      </c>
      <c r="Q24" s="26"/>
      <c r="R24" s="26"/>
      <c r="S24" s="26"/>
      <c r="T24" s="26"/>
      <c r="U24" s="26"/>
      <c r="V24" s="26"/>
      <c r="W24" s="26"/>
      <c r="X24" s="27" t="str">
        <f>IF(COUNT(S24:W24)&lt;5,"",S24*Ponderaciones!$B$2+T24*Ponderaciones!$B$3+U24*Ponderaciones!$B$4+V24*Ponderaciones!$B$5+W24*Ponderaciones!$B$6)</f>
        <v/>
      </c>
      <c r="Y24" s="19" t="str">
        <f t="shared" si="2"/>
        <v/>
      </c>
      <c r="Z24" s="26"/>
    </row>
    <row r="25" spans="1:26" ht="15" customHeight="1" x14ac:dyDescent="0.2">
      <c r="A25" s="19">
        <v>23</v>
      </c>
      <c r="B25" s="19" t="s">
        <v>133</v>
      </c>
      <c r="C25" s="19" t="s">
        <v>118</v>
      </c>
      <c r="D25" s="19" t="s">
        <v>56</v>
      </c>
      <c r="E25" s="19" t="s">
        <v>134</v>
      </c>
      <c r="F25" s="19" t="s">
        <v>67</v>
      </c>
      <c r="G25" s="19" t="s">
        <v>135</v>
      </c>
      <c r="H25" s="26"/>
      <c r="I25" s="21"/>
      <c r="J25" s="21"/>
      <c r="K25" s="21"/>
      <c r="L25" s="23" t="str">
        <f>IF(K25="","",K25/Ponderaciones!$B$9)</f>
        <v/>
      </c>
      <c r="M25" s="24" t="str">
        <f t="shared" si="0"/>
        <v/>
      </c>
      <c r="N25" s="21"/>
      <c r="O25" s="24" t="str">
        <f t="shared" si="1"/>
        <v/>
      </c>
      <c r="P25" s="25" t="str">
        <f>IF(L25="","",IF(L25&gt;=Ponderaciones!$B$10,"SÍ","NO"))</f>
        <v/>
      </c>
      <c r="Q25" s="20" t="s">
        <v>136</v>
      </c>
      <c r="R25" s="20" t="s">
        <v>137</v>
      </c>
      <c r="S25" s="26"/>
      <c r="T25" s="26"/>
      <c r="U25" s="26"/>
      <c r="V25" s="26"/>
      <c r="W25" s="26"/>
      <c r="X25" s="27" t="str">
        <f>IF(COUNT(S25:W25)&lt;5,"",S25*Ponderaciones!$B$2+T25*Ponderaciones!$B$3+U25*Ponderaciones!$B$4+V25*Ponderaciones!$B$5+W25*Ponderaciones!$B$6)</f>
        <v/>
      </c>
      <c r="Y25" s="19" t="str">
        <f t="shared" si="2"/>
        <v/>
      </c>
      <c r="Z25" s="20" t="s">
        <v>138</v>
      </c>
    </row>
    <row r="26" spans="1:26" ht="15" customHeight="1" x14ac:dyDescent="0.2">
      <c r="A26" s="19">
        <v>24</v>
      </c>
      <c r="B26" s="19" t="s">
        <v>139</v>
      </c>
      <c r="C26" s="19" t="s">
        <v>118</v>
      </c>
      <c r="D26" s="19" t="s">
        <v>56</v>
      </c>
      <c r="E26" s="19" t="s">
        <v>140</v>
      </c>
      <c r="F26" s="19" t="s">
        <v>67</v>
      </c>
      <c r="G26" s="19" t="s">
        <v>135</v>
      </c>
      <c r="H26" s="26"/>
      <c r="I26" s="21"/>
      <c r="J26" s="21"/>
      <c r="K26" s="21"/>
      <c r="L26" s="23" t="str">
        <f>IF(K26="","",K26/Ponderaciones!$B$9)</f>
        <v/>
      </c>
      <c r="M26" s="24" t="str">
        <f t="shared" si="0"/>
        <v/>
      </c>
      <c r="N26" s="21"/>
      <c r="O26" s="24" t="str">
        <f t="shared" si="1"/>
        <v/>
      </c>
      <c r="P26" s="25" t="str">
        <f>IF(L26="","",IF(L26&gt;=Ponderaciones!$B$10,"SÍ","NO"))</f>
        <v/>
      </c>
      <c r="Q26" s="26"/>
      <c r="R26" s="26"/>
      <c r="S26" s="26"/>
      <c r="T26" s="26"/>
      <c r="U26" s="26"/>
      <c r="V26" s="26"/>
      <c r="W26" s="26"/>
      <c r="X26" s="27" t="str">
        <f>IF(COUNT(S26:W26)&lt;5,"",S26*Ponderaciones!$B$2+T26*Ponderaciones!$B$3+U26*Ponderaciones!$B$4+V26*Ponderaciones!$B$5+W26*Ponderaciones!$B$6)</f>
        <v/>
      </c>
      <c r="Y26" s="19" t="str">
        <f t="shared" si="2"/>
        <v/>
      </c>
      <c r="Z26" s="26"/>
    </row>
    <row r="27" spans="1:26" ht="15" customHeight="1" x14ac:dyDescent="0.2">
      <c r="A27" s="19">
        <v>25</v>
      </c>
      <c r="B27" s="19" t="s">
        <v>141</v>
      </c>
      <c r="C27" s="19" t="s">
        <v>118</v>
      </c>
      <c r="D27" s="19" t="s">
        <v>65</v>
      </c>
      <c r="E27" s="19" t="s">
        <v>142</v>
      </c>
      <c r="F27" s="19" t="s">
        <v>67</v>
      </c>
      <c r="G27" s="19" t="s">
        <v>143</v>
      </c>
      <c r="H27" s="26"/>
      <c r="I27" s="21"/>
      <c r="J27" s="21"/>
      <c r="K27" s="21"/>
      <c r="L27" s="23" t="str">
        <f>IF(K27="","",K27/Ponderaciones!$B$9)</f>
        <v/>
      </c>
      <c r="M27" s="24" t="str">
        <f t="shared" si="0"/>
        <v/>
      </c>
      <c r="N27" s="21"/>
      <c r="O27" s="24" t="str">
        <f t="shared" si="1"/>
        <v/>
      </c>
      <c r="P27" s="25" t="str">
        <f>IF(L27="","",IF(L27&gt;=Ponderaciones!$B$10,"SÍ","NO"))</f>
        <v/>
      </c>
      <c r="Q27" s="26"/>
      <c r="R27" s="26"/>
      <c r="S27" s="26"/>
      <c r="T27" s="26"/>
      <c r="U27" s="26"/>
      <c r="V27" s="26"/>
      <c r="W27" s="26"/>
      <c r="X27" s="27" t="str">
        <f>IF(COUNT(S27:W27)&lt;5,"",S27*Ponderaciones!$B$2+T27*Ponderaciones!$B$3+U27*Ponderaciones!$B$4+V27*Ponderaciones!$B$5+W27*Ponderaciones!$B$6)</f>
        <v/>
      </c>
      <c r="Y27" s="19" t="str">
        <f t="shared" si="2"/>
        <v/>
      </c>
      <c r="Z27" s="26"/>
    </row>
    <row r="28" spans="1:26" ht="15" customHeight="1" x14ac:dyDescent="0.2">
      <c r="A28" s="19">
        <v>26</v>
      </c>
      <c r="B28" s="19" t="s">
        <v>144</v>
      </c>
      <c r="C28" s="19" t="s">
        <v>118</v>
      </c>
      <c r="D28" s="19" t="s">
        <v>56</v>
      </c>
      <c r="E28" s="19" t="s">
        <v>145</v>
      </c>
      <c r="F28" s="19" t="s">
        <v>67</v>
      </c>
      <c r="G28" s="19" t="s">
        <v>143</v>
      </c>
      <c r="H28" s="26"/>
      <c r="I28" s="21"/>
      <c r="J28" s="21"/>
      <c r="K28" s="21"/>
      <c r="L28" s="23" t="str">
        <f>IF(K28="","",K28/Ponderaciones!$B$9)</f>
        <v/>
      </c>
      <c r="M28" s="24" t="str">
        <f t="shared" si="0"/>
        <v/>
      </c>
      <c r="N28" s="21"/>
      <c r="O28" s="24" t="str">
        <f t="shared" si="1"/>
        <v/>
      </c>
      <c r="P28" s="25" t="str">
        <f>IF(L28="","",IF(L28&gt;=Ponderaciones!$B$10,"SÍ","NO"))</f>
        <v/>
      </c>
      <c r="Q28" s="26"/>
      <c r="R28" s="26"/>
      <c r="S28" s="26"/>
      <c r="T28" s="26"/>
      <c r="U28" s="26"/>
      <c r="V28" s="26"/>
      <c r="W28" s="26"/>
      <c r="X28" s="27" t="str">
        <f>IF(COUNT(S28:W28)&lt;5,"",S28*Ponderaciones!$B$2+T28*Ponderaciones!$B$3+U28*Ponderaciones!$B$4+V28*Ponderaciones!$B$5+W28*Ponderaciones!$B$6)</f>
        <v/>
      </c>
      <c r="Y28" s="19" t="str">
        <f t="shared" si="2"/>
        <v/>
      </c>
      <c r="Z28" s="26"/>
    </row>
    <row r="29" spans="1:26" ht="15" customHeight="1" x14ac:dyDescent="0.2">
      <c r="A29" s="19">
        <v>27</v>
      </c>
      <c r="B29" s="19" t="s">
        <v>146</v>
      </c>
      <c r="C29" s="19" t="s">
        <v>118</v>
      </c>
      <c r="D29" s="19" t="s">
        <v>56</v>
      </c>
      <c r="E29" s="19" t="s">
        <v>147</v>
      </c>
      <c r="F29" s="19" t="s">
        <v>67</v>
      </c>
      <c r="G29" s="19" t="s">
        <v>58</v>
      </c>
      <c r="H29" s="26"/>
      <c r="I29" s="21"/>
      <c r="J29" s="21"/>
      <c r="K29" s="21"/>
      <c r="L29" s="23" t="str">
        <f>IF(K29="","",K29/Ponderaciones!$B$9)</f>
        <v/>
      </c>
      <c r="M29" s="24" t="str">
        <f t="shared" si="0"/>
        <v/>
      </c>
      <c r="N29" s="21"/>
      <c r="O29" s="24" t="str">
        <f t="shared" si="1"/>
        <v/>
      </c>
      <c r="P29" s="25" t="str">
        <f>IF(L29="","",IF(L29&gt;=Ponderaciones!$B$10,"SÍ","NO"))</f>
        <v/>
      </c>
      <c r="Q29" s="26"/>
      <c r="R29" s="26"/>
      <c r="S29" s="26"/>
      <c r="T29" s="26"/>
      <c r="U29" s="26"/>
      <c r="V29" s="26"/>
      <c r="W29" s="26"/>
      <c r="X29" s="27" t="str">
        <f>IF(COUNT(S29:W29)&lt;5,"",S29*Ponderaciones!$B$2+T29*Ponderaciones!$B$3+U29*Ponderaciones!$B$4+V29*Ponderaciones!$B$5+W29*Ponderaciones!$B$6)</f>
        <v/>
      </c>
      <c r="Y29" s="19" t="str">
        <f t="shared" si="2"/>
        <v/>
      </c>
      <c r="Z29" s="26"/>
    </row>
    <row r="30" spans="1:26" ht="15" customHeight="1" x14ac:dyDescent="0.2">
      <c r="A30" s="19">
        <v>28</v>
      </c>
      <c r="B30" s="19" t="s">
        <v>148</v>
      </c>
      <c r="C30" s="19" t="s">
        <v>118</v>
      </c>
      <c r="D30" s="19" t="s">
        <v>56</v>
      </c>
      <c r="E30" s="19" t="s">
        <v>149</v>
      </c>
      <c r="F30" s="19" t="s">
        <v>67</v>
      </c>
      <c r="G30" s="19" t="s">
        <v>150</v>
      </c>
      <c r="H30" s="26">
        <v>900407148</v>
      </c>
      <c r="I30" s="21">
        <v>115807</v>
      </c>
      <c r="J30" s="21">
        <v>118367</v>
      </c>
      <c r="K30" s="21">
        <v>121892</v>
      </c>
      <c r="L30" s="23">
        <f>IF(K30="","",K30/Ponderaciones!$B$9)</f>
        <v>30.472999999999999</v>
      </c>
      <c r="M30" s="24">
        <f t="shared" si="0"/>
        <v>2.593582617433432E-2</v>
      </c>
      <c r="N30" s="21">
        <v>18824</v>
      </c>
      <c r="O30" s="24">
        <f t="shared" si="1"/>
        <v>0.15443179207823318</v>
      </c>
      <c r="P30" s="25" t="str">
        <f>IF(L30="","",IF(L30&gt;=Ponderaciones!$B$10,"SÍ","NO"))</f>
        <v>SÍ</v>
      </c>
      <c r="Q30" s="26"/>
      <c r="R30" s="26"/>
      <c r="S30" s="26"/>
      <c r="T30" s="26"/>
      <c r="U30" s="26"/>
      <c r="V30" s="26"/>
      <c r="W30" s="26"/>
      <c r="X30" s="27" t="str">
        <f>IF(COUNT(S30:W30)&lt;5,"",S30*Ponderaciones!$B$2+T30*Ponderaciones!$B$3+U30*Ponderaciones!$B$4+V30*Ponderaciones!$B$5+W30*Ponderaciones!$B$6)</f>
        <v/>
      </c>
      <c r="Y30" s="19" t="str">
        <f t="shared" si="2"/>
        <v/>
      </c>
      <c r="Z30" s="26"/>
    </row>
    <row r="31" spans="1:26" ht="23.25" customHeight="1" x14ac:dyDescent="0.2">
      <c r="A31" s="19">
        <v>29</v>
      </c>
      <c r="B31" s="19" t="s">
        <v>151</v>
      </c>
      <c r="C31" s="19" t="s">
        <v>118</v>
      </c>
      <c r="D31" s="19" t="s">
        <v>65</v>
      </c>
      <c r="E31" s="19" t="s">
        <v>152</v>
      </c>
      <c r="F31" s="19" t="s">
        <v>67</v>
      </c>
      <c r="G31" s="19" t="s">
        <v>153</v>
      </c>
      <c r="H31" s="26"/>
      <c r="I31" s="21"/>
      <c r="J31" s="21"/>
      <c r="K31" s="21"/>
      <c r="L31" s="23" t="str">
        <f>IF(K31="","",K31/Ponderaciones!$B$9)</f>
        <v/>
      </c>
      <c r="M31" s="24" t="str">
        <f t="shared" si="0"/>
        <v/>
      </c>
      <c r="N31" s="21"/>
      <c r="O31" s="24" t="str">
        <f t="shared" si="1"/>
        <v/>
      </c>
      <c r="P31" s="25" t="str">
        <f>IF(L31="","",IF(L31&gt;=Ponderaciones!$B$10,"SÍ","NO"))</f>
        <v/>
      </c>
      <c r="Q31" s="26"/>
      <c r="R31" s="26"/>
      <c r="S31" s="26"/>
      <c r="T31" s="26"/>
      <c r="U31" s="26"/>
      <c r="V31" s="26"/>
      <c r="W31" s="26"/>
      <c r="X31" s="27" t="str">
        <f>IF(COUNT(S31:W31)&lt;5,"",S31*Ponderaciones!$B$2+T31*Ponderaciones!$B$3+U31*Ponderaciones!$B$4+V31*Ponderaciones!$B$5+W31*Ponderaciones!$B$6)</f>
        <v/>
      </c>
      <c r="Y31" s="19" t="str">
        <f t="shared" si="2"/>
        <v/>
      </c>
      <c r="Z31" s="26"/>
    </row>
    <row r="32" spans="1:26" ht="15" customHeight="1" x14ac:dyDescent="0.2">
      <c r="A32" s="19">
        <v>30</v>
      </c>
      <c r="B32" s="19" t="s">
        <v>154</v>
      </c>
      <c r="C32" s="19" t="s">
        <v>118</v>
      </c>
      <c r="D32" s="19" t="s">
        <v>56</v>
      </c>
      <c r="E32" s="19" t="s">
        <v>152</v>
      </c>
      <c r="F32" s="19" t="s">
        <v>67</v>
      </c>
      <c r="G32" s="19" t="s">
        <v>153</v>
      </c>
      <c r="H32" s="26"/>
      <c r="I32" s="21"/>
      <c r="J32" s="21"/>
      <c r="K32" s="21"/>
      <c r="L32" s="23" t="str">
        <f>IF(K32="","",K32/Ponderaciones!$B$9)</f>
        <v/>
      </c>
      <c r="M32" s="24" t="str">
        <f t="shared" si="0"/>
        <v/>
      </c>
      <c r="N32" s="21"/>
      <c r="O32" s="24" t="str">
        <f t="shared" si="1"/>
        <v/>
      </c>
      <c r="P32" s="25" t="str">
        <f>IF(L32="","",IF(L32&gt;=Ponderaciones!$B$10,"SÍ","NO"))</f>
        <v/>
      </c>
      <c r="Q32" s="26"/>
      <c r="R32" s="26"/>
      <c r="S32" s="26"/>
      <c r="T32" s="26"/>
      <c r="U32" s="26"/>
      <c r="V32" s="26"/>
      <c r="W32" s="26"/>
      <c r="X32" s="27" t="str">
        <f>IF(COUNT(S32:W32)&lt;5,"",S32*Ponderaciones!$B$2+T32*Ponderaciones!$B$3+U32*Ponderaciones!$B$4+V32*Ponderaciones!$B$5+W32*Ponderaciones!$B$6)</f>
        <v/>
      </c>
      <c r="Y32" s="19" t="str">
        <f t="shared" si="2"/>
        <v/>
      </c>
      <c r="Z32" s="26"/>
    </row>
    <row r="33" spans="1:26" s="43" customFormat="1" ht="15" customHeight="1" x14ac:dyDescent="0.2">
      <c r="A33" s="35">
        <v>31</v>
      </c>
      <c r="B33" s="35" t="s">
        <v>155</v>
      </c>
      <c r="C33" s="35" t="s">
        <v>118</v>
      </c>
      <c r="D33" s="35" t="s">
        <v>56</v>
      </c>
      <c r="E33" s="35" t="s">
        <v>156</v>
      </c>
      <c r="F33" s="35" t="s">
        <v>67</v>
      </c>
      <c r="G33" s="35" t="s">
        <v>157</v>
      </c>
      <c r="H33" s="36"/>
      <c r="I33" s="37"/>
      <c r="J33" s="37"/>
      <c r="K33" s="37"/>
      <c r="L33" s="38" t="str">
        <f>IF(K33="","",K33/Ponderaciones!$B$9)</f>
        <v/>
      </c>
      <c r="M33" s="39" t="str">
        <f t="shared" si="0"/>
        <v/>
      </c>
      <c r="N33" s="37"/>
      <c r="O33" s="39" t="str">
        <f t="shared" si="1"/>
        <v/>
      </c>
      <c r="P33" s="40" t="str">
        <f>IF(L33="","",IF(L33&gt;=Ponderaciones!$B$10,"SÍ","NO"))</f>
        <v/>
      </c>
      <c r="Q33" s="41" t="s">
        <v>158</v>
      </c>
      <c r="R33" s="41" t="s">
        <v>159</v>
      </c>
      <c r="S33" s="36"/>
      <c r="T33" s="36">
        <v>2</v>
      </c>
      <c r="U33" s="36"/>
      <c r="V33" s="36"/>
      <c r="W33" s="36"/>
      <c r="X33" s="42" t="str">
        <f>IF(COUNT(S33:W33)&lt;5,"",S33*Ponderaciones!$B$2+T33*Ponderaciones!$B$3+U33*Ponderaciones!$B$4+V33*Ponderaciones!$B$5+W33*Ponderaciones!$B$6)</f>
        <v/>
      </c>
      <c r="Y33" s="35" t="str">
        <f t="shared" si="2"/>
        <v/>
      </c>
      <c r="Z33" s="41" t="s">
        <v>160</v>
      </c>
    </row>
    <row r="34" spans="1:26" ht="15" customHeight="1" x14ac:dyDescent="0.2">
      <c r="A34" s="19">
        <v>32</v>
      </c>
      <c r="B34" s="19" t="s">
        <v>161</v>
      </c>
      <c r="C34" s="19" t="s">
        <v>118</v>
      </c>
      <c r="D34" s="19" t="s">
        <v>56</v>
      </c>
      <c r="E34" s="19" t="s">
        <v>162</v>
      </c>
      <c r="F34" s="19" t="s">
        <v>67</v>
      </c>
      <c r="G34" s="19" t="s">
        <v>163</v>
      </c>
      <c r="H34" s="26"/>
      <c r="I34" s="21"/>
      <c r="J34" s="21"/>
      <c r="K34" s="21"/>
      <c r="L34" s="23" t="str">
        <f>IF(K34="","",K34/Ponderaciones!$B$9)</f>
        <v/>
      </c>
      <c r="M34" s="24" t="str">
        <f t="shared" si="0"/>
        <v/>
      </c>
      <c r="N34" s="21"/>
      <c r="O34" s="24" t="str">
        <f t="shared" si="1"/>
        <v/>
      </c>
      <c r="P34" s="25" t="str">
        <f>IF(L34="","",IF(L34&gt;=Ponderaciones!$B$10,"SÍ","NO"))</f>
        <v/>
      </c>
      <c r="Q34" s="26"/>
      <c r="R34" s="26"/>
      <c r="S34" s="26"/>
      <c r="T34" s="26"/>
      <c r="U34" s="26"/>
      <c r="V34" s="26"/>
      <c r="W34" s="26"/>
      <c r="X34" s="27" t="str">
        <f>IF(COUNT(S34:W34)&lt;5,"",S34*Ponderaciones!$B$2+T34*Ponderaciones!$B$3+U34*Ponderaciones!$B$4+V34*Ponderaciones!$B$5+W34*Ponderaciones!$B$6)</f>
        <v/>
      </c>
      <c r="Y34" s="19" t="str">
        <f t="shared" si="2"/>
        <v/>
      </c>
      <c r="Z34" s="26"/>
    </row>
    <row r="35" spans="1:26" ht="15" customHeight="1" x14ac:dyDescent="0.2">
      <c r="A35" s="19">
        <v>33</v>
      </c>
      <c r="B35" s="19" t="s">
        <v>164</v>
      </c>
      <c r="C35" s="19" t="s">
        <v>118</v>
      </c>
      <c r="D35" s="19" t="s">
        <v>65</v>
      </c>
      <c r="E35" s="19" t="s">
        <v>162</v>
      </c>
      <c r="F35" s="19" t="s">
        <v>67</v>
      </c>
      <c r="G35" s="19" t="s">
        <v>163</v>
      </c>
      <c r="H35" s="26"/>
      <c r="I35" s="21"/>
      <c r="J35" s="21"/>
      <c r="K35" s="21"/>
      <c r="L35" s="23" t="str">
        <f>IF(K35="","",K35/Ponderaciones!$B$9)</f>
        <v/>
      </c>
      <c r="M35" s="24" t="str">
        <f t="shared" si="0"/>
        <v/>
      </c>
      <c r="N35" s="21"/>
      <c r="O35" s="24" t="str">
        <f t="shared" si="1"/>
        <v/>
      </c>
      <c r="P35" s="25" t="str">
        <f>IF(L35="","",IF(L35&gt;=Ponderaciones!$B$10,"SÍ","NO"))</f>
        <v/>
      </c>
      <c r="Q35" s="26"/>
      <c r="R35" s="26"/>
      <c r="S35" s="26"/>
      <c r="T35" s="26"/>
      <c r="U35" s="26"/>
      <c r="V35" s="26"/>
      <c r="W35" s="26"/>
      <c r="X35" s="27" t="str">
        <f>IF(COUNT(S35:W35)&lt;5,"",S35*Ponderaciones!$B$2+T35*Ponderaciones!$B$3+U35*Ponderaciones!$B$4+V35*Ponderaciones!$B$5+W35*Ponderaciones!$B$6)</f>
        <v/>
      </c>
      <c r="Y35" s="19" t="str">
        <f t="shared" si="2"/>
        <v/>
      </c>
      <c r="Z35" s="26"/>
    </row>
    <row r="37" spans="1:26" ht="15" customHeight="1" x14ac:dyDescent="0.2">
      <c r="B37" s="9" t="s">
        <v>165</v>
      </c>
    </row>
    <row r="38" spans="1:26" ht="15" customHeight="1" x14ac:dyDescent="0.2">
      <c r="B38" s="9" t="s">
        <v>166</v>
      </c>
    </row>
  </sheetData>
  <autoFilter ref="A1:Z35" xr:uid="{00000000-0009-0000-0000-000002000000}"/>
  <conditionalFormatting sqref="P2:P35">
    <cfRule type="cellIs" dxfId="2" priority="2" operator="equal">
      <formula>"NO"</formula>
    </cfRule>
    <cfRule type="cellIs" dxfId="1" priority="3" operator="equal">
      <formula>"SÍ"</formula>
    </cfRule>
  </conditionalFormatting>
  <conditionalFormatting sqref="Y2:Y35">
    <cfRule type="cellIs" dxfId="0" priority="4" operator="lessThanOrEqual">
      <formula>5</formula>
    </cfRule>
  </conditionalFormatting>
  <dataValidations count="2">
    <dataValidation type="whole" allowBlank="1" sqref="S2:W35" xr:uid="{00000000-0002-0000-0200-000000000000}">
      <formula1>1</formula1>
      <formula2>5</formula2>
    </dataValidation>
    <dataValidation type="list" allowBlank="1" sqref="F2:F35" xr:uid="{00000000-0002-0000-0200-000001000000}">
      <formula1>"A,B,—"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zoomScaleNormal="100" workbookViewId="0"/>
  </sheetViews>
  <sheetFormatPr baseColWidth="10" defaultColWidth="8.6640625" defaultRowHeight="15" x14ac:dyDescent="0.2"/>
  <cols>
    <col min="1" max="1" width="10" customWidth="1"/>
    <col min="2" max="2" width="32" customWidth="1"/>
    <col min="3" max="3" width="14" customWidth="1"/>
    <col min="4" max="4" width="10" customWidth="1"/>
    <col min="5" max="5" width="20" customWidth="1"/>
    <col min="6" max="6" width="12" customWidth="1"/>
  </cols>
  <sheetData>
    <row r="1" spans="1:6" ht="15" customHeight="1" x14ac:dyDescent="0.2">
      <c r="A1" s="29" t="s">
        <v>167</v>
      </c>
    </row>
    <row r="3" spans="1:6" ht="15" customHeight="1" x14ac:dyDescent="0.2">
      <c r="A3" s="30" t="s">
        <v>168</v>
      </c>
      <c r="B3" s="30" t="s">
        <v>29</v>
      </c>
      <c r="C3" s="30" t="s">
        <v>30</v>
      </c>
      <c r="D3" s="30" t="s">
        <v>169</v>
      </c>
      <c r="E3" s="30" t="s">
        <v>39</v>
      </c>
      <c r="F3" s="30" t="s">
        <v>170</v>
      </c>
    </row>
    <row r="4" spans="1:6" ht="15" customHeight="1" x14ac:dyDescent="0.2">
      <c r="A4" s="31">
        <v>1</v>
      </c>
      <c r="B4" s="32" t="str">
        <f>IFERROR(INDEX(Screening!$B$2:$B$35,MATCH(1,Screening!$Y$2:$Y$35,0)),"")</f>
        <v>EJEMPLO S.A.S.</v>
      </c>
      <c r="C4" s="32" t="str">
        <f>IFERROR(INDEX(Screening!$C$2:$C$35,MATCH(1,Screening!$Y$2:$Y$35,0)),"")</f>
        <v>Software</v>
      </c>
      <c r="D4" s="33">
        <f>IFERROR(INDEX(Screening!$X$2:$X$35,MATCH(1,Screening!$Y$2:$Y$35,0)),"")</f>
        <v>4.3499999999999996</v>
      </c>
      <c r="E4" s="34">
        <f>IFERROR(INDEX(Screening!$L$2:$L$35,MATCH(1,Screening!$Y$2:$Y$35,0)),"")</f>
        <v>13</v>
      </c>
      <c r="F4" s="32" t="str">
        <f>IFERROR(INDEX(Screening!$P$2:$P$35,MATCH(1,Screening!$Y$2:$Y$35,0)),"")</f>
        <v>SÍ</v>
      </c>
    </row>
    <row r="5" spans="1:6" ht="15" customHeight="1" x14ac:dyDescent="0.2">
      <c r="A5" s="31">
        <v>2</v>
      </c>
      <c r="B5" s="32" t="str">
        <f>IFERROR(INDEX(Screening!$B$2:$B$35,MATCH(2,Screening!$Y$2:$Y$35,0)),"")</f>
        <v/>
      </c>
      <c r="C5" s="32" t="str">
        <f>IFERROR(INDEX(Screening!$C$2:$C$35,MATCH(2,Screening!$Y$2:$Y$35,0)),"")</f>
        <v/>
      </c>
      <c r="D5" s="33" t="str">
        <f>IFERROR(INDEX(Screening!$X$2:$X$35,MATCH(2,Screening!$Y$2:$Y$35,0)),"")</f>
        <v/>
      </c>
      <c r="E5" s="34" t="str">
        <f>IFERROR(INDEX(Screening!$L$2:$L$35,MATCH(2,Screening!$Y$2:$Y$35,0)),"")</f>
        <v/>
      </c>
      <c r="F5" s="32" t="str">
        <f>IFERROR(INDEX(Screening!$P$2:$P$35,MATCH(2,Screening!$Y$2:$Y$35,0)),"")</f>
        <v/>
      </c>
    </row>
    <row r="6" spans="1:6" ht="15" customHeight="1" x14ac:dyDescent="0.2">
      <c r="A6" s="31">
        <v>3</v>
      </c>
      <c r="B6" s="32" t="str">
        <f>IFERROR(INDEX(Screening!$B$2:$B$35,MATCH(3,Screening!$Y$2:$Y$35,0)),"")</f>
        <v/>
      </c>
      <c r="C6" s="32" t="str">
        <f>IFERROR(INDEX(Screening!$C$2:$C$35,MATCH(3,Screening!$Y$2:$Y$35,0)),"")</f>
        <v/>
      </c>
      <c r="D6" s="33" t="str">
        <f>IFERROR(INDEX(Screening!$X$2:$X$35,MATCH(3,Screening!$Y$2:$Y$35,0)),"")</f>
        <v/>
      </c>
      <c r="E6" s="34" t="str">
        <f>IFERROR(INDEX(Screening!$L$2:$L$35,MATCH(3,Screening!$Y$2:$Y$35,0)),"")</f>
        <v/>
      </c>
      <c r="F6" s="32" t="str">
        <f>IFERROR(INDEX(Screening!$P$2:$P$35,MATCH(3,Screening!$Y$2:$Y$35,0)),"")</f>
        <v/>
      </c>
    </row>
    <row r="7" spans="1:6" ht="15" customHeight="1" x14ac:dyDescent="0.2">
      <c r="A7" s="31">
        <v>4</v>
      </c>
      <c r="B7" s="32" t="str">
        <f>IFERROR(INDEX(Screening!$B$2:$B$35,MATCH(4,Screening!$Y$2:$Y$35,0)),"")</f>
        <v/>
      </c>
      <c r="C7" s="32" t="str">
        <f>IFERROR(INDEX(Screening!$C$2:$C$35,MATCH(4,Screening!$Y$2:$Y$35,0)),"")</f>
        <v/>
      </c>
      <c r="D7" s="33" t="str">
        <f>IFERROR(INDEX(Screening!$X$2:$X$35,MATCH(4,Screening!$Y$2:$Y$35,0)),"")</f>
        <v/>
      </c>
      <c r="E7" s="34" t="str">
        <f>IFERROR(INDEX(Screening!$L$2:$L$35,MATCH(4,Screening!$Y$2:$Y$35,0)),"")</f>
        <v/>
      </c>
      <c r="F7" s="32" t="str">
        <f>IFERROR(INDEX(Screening!$P$2:$P$35,MATCH(4,Screening!$Y$2:$Y$35,0)),"")</f>
        <v/>
      </c>
    </row>
    <row r="8" spans="1:6" ht="15" customHeight="1" x14ac:dyDescent="0.2">
      <c r="A8" s="31">
        <v>5</v>
      </c>
      <c r="B8" s="32" t="str">
        <f>IFERROR(INDEX(Screening!$B$2:$B$35,MATCH(5,Screening!$Y$2:$Y$35,0)),"")</f>
        <v/>
      </c>
      <c r="C8" s="32" t="str">
        <f>IFERROR(INDEX(Screening!$C$2:$C$35,MATCH(5,Screening!$Y$2:$Y$35,0)),"")</f>
        <v/>
      </c>
      <c r="D8" s="33" t="str">
        <f>IFERROR(INDEX(Screening!$X$2:$X$35,MATCH(5,Screening!$Y$2:$Y$35,0)),"")</f>
        <v/>
      </c>
      <c r="E8" s="34" t="str">
        <f>IFERROR(INDEX(Screening!$L$2:$L$35,MATCH(5,Screening!$Y$2:$Y$35,0)),"")</f>
        <v/>
      </c>
      <c r="F8" s="32" t="str">
        <f>IFERROR(INDEX(Screening!$P$2:$P$35,MATCH(5,Screening!$Y$2:$Y$35,0)),"")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Ponderaciones</vt:lpstr>
      <vt:lpstr>Screening</vt:lpstr>
      <vt:lpstr>Shortlist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MANUEL ALONSO DE LA TEJERA GONZALEZ</cp:lastModifiedBy>
  <cp:revision>0</cp:revision>
  <dcterms:created xsi:type="dcterms:W3CDTF">2026-09-03T17:45:22Z</dcterms:created>
  <dcterms:modified xsi:type="dcterms:W3CDTF">2026-09-03T19:33:09Z</dcterms:modified>
  <dc:language>en-US</dc:language>
</cp:coreProperties>
</file>