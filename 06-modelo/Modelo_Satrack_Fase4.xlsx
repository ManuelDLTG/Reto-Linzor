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nueldelatejera/Desktop/Linzor/"/>
    </mc:Choice>
  </mc:AlternateContent>
  <xr:revisionPtr revIDLastSave="0" documentId="13_ncr:1_{0C4278AE-6F77-7A42-ADC2-2FEB8F1EA46D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Instrucciones" sheetId="1" r:id="rId1"/>
    <sheet name="Supuestos" sheetId="2" r:id="rId2"/>
    <sheet name="Proyección P&amp;L" sheetId="3" r:id="rId3"/>
    <sheet name="Deuda" sheetId="4" r:id="rId4"/>
    <sheet name="Valuación y Retorno" sheetId="5" r:id="rId5"/>
    <sheet name="Puente de Retorno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5" i="3"/>
  <c r="G4" i="3"/>
  <c r="F4" i="3"/>
  <c r="E4" i="3"/>
  <c r="D4" i="3"/>
  <c r="C4" i="3"/>
  <c r="B6" i="3"/>
  <c r="C6" i="3" s="1"/>
  <c r="D6" i="3" s="1"/>
  <c r="E6" i="3" s="1"/>
  <c r="F6" i="3" s="1"/>
  <c r="G6" i="3" s="1"/>
  <c r="B15" i="3" l="1"/>
  <c r="B8" i="3"/>
  <c r="C5" i="3"/>
  <c r="B7" i="3"/>
  <c r="D5" i="3" l="1"/>
  <c r="C8" i="3"/>
  <c r="C15" i="3"/>
  <c r="C7" i="3"/>
  <c r="B9" i="3"/>
  <c r="B11" i="3" s="1"/>
  <c r="B16" i="3"/>
  <c r="B4" i="4"/>
  <c r="B4" i="5"/>
  <c r="E5" i="3" l="1"/>
  <c r="D8" i="3"/>
  <c r="D15" i="3"/>
  <c r="D7" i="3"/>
  <c r="C9" i="3"/>
  <c r="C16" i="3"/>
  <c r="B12" i="3"/>
  <c r="B13" i="3" s="1"/>
  <c r="C5" i="4"/>
  <c r="C6" i="4"/>
  <c r="D6" i="4"/>
  <c r="E6" i="4"/>
  <c r="F6" i="4"/>
  <c r="G6" i="4"/>
  <c r="B8" i="5"/>
  <c r="B5" i="5"/>
  <c r="B6" i="5"/>
  <c r="B9" i="5" s="1"/>
  <c r="B10" i="5" s="1"/>
  <c r="B11" i="5" s="1"/>
  <c r="B7" i="5"/>
  <c r="F5" i="3" l="1"/>
  <c r="E8" i="3"/>
  <c r="E15" i="3"/>
  <c r="E7" i="3"/>
  <c r="D9" i="3"/>
  <c r="D16" i="3"/>
  <c r="C7" i="4"/>
  <c r="D5" i="4" s="1"/>
  <c r="C8" i="4"/>
  <c r="C10" i="3" s="1"/>
  <c r="C11" i="3" s="1"/>
  <c r="G5" i="3" l="1"/>
  <c r="F8" i="3"/>
  <c r="F15" i="3"/>
  <c r="F7" i="3"/>
  <c r="E9" i="3"/>
  <c r="E16" i="3"/>
  <c r="D7" i="4"/>
  <c r="E5" i="4" s="1"/>
  <c r="D8" i="4"/>
  <c r="D10" i="3" s="1"/>
  <c r="D11" i="3" s="1"/>
  <c r="C12" i="3"/>
  <c r="C13" i="3" s="1"/>
  <c r="G8" i="3" l="1"/>
  <c r="G15" i="3"/>
  <c r="G7" i="3"/>
  <c r="F9" i="3"/>
  <c r="F16" i="3"/>
  <c r="E7" i="4"/>
  <c r="F5" i="4" s="1"/>
  <c r="E8" i="4"/>
  <c r="E10" i="3" s="1"/>
  <c r="E11" i="3" s="1"/>
  <c r="D12" i="3"/>
  <c r="D13" i="3"/>
  <c r="G9" i="3" l="1"/>
  <c r="G16" i="3"/>
  <c r="B14" i="5"/>
  <c r="F7" i="4"/>
  <c r="G5" i="4" s="1"/>
  <c r="F8" i="4"/>
  <c r="F10" i="3" s="1"/>
  <c r="F11" i="3" s="1"/>
  <c r="E12" i="3"/>
  <c r="E13" i="3" s="1"/>
  <c r="B15" i="5" l="1"/>
  <c r="B16" i="5"/>
  <c r="B17" i="5"/>
  <c r="B4" i="6"/>
  <c r="B5" i="6"/>
  <c r="G7" i="4"/>
  <c r="B18" i="5" s="1"/>
  <c r="G8" i="4"/>
  <c r="G10" i="3" s="1"/>
  <c r="G11" i="3" s="1"/>
  <c r="F12" i="3"/>
  <c r="F13" i="3"/>
  <c r="B7" i="6" l="1"/>
  <c r="C4" i="6" s="1"/>
  <c r="G13" i="3"/>
  <c r="G12" i="3"/>
  <c r="B19" i="5"/>
  <c r="B6" i="6"/>
  <c r="B29" i="5"/>
  <c r="C29" i="5"/>
  <c r="D29" i="5"/>
  <c r="B30" i="5"/>
  <c r="C30" i="5"/>
  <c r="B31" i="5"/>
  <c r="D31" i="5"/>
  <c r="D30" i="5"/>
  <c r="C31" i="5"/>
  <c r="C6" i="6" l="1"/>
  <c r="C5" i="6"/>
  <c r="B9" i="6"/>
  <c r="B20" i="5"/>
  <c r="B21" i="5" l="1"/>
  <c r="B24" i="5"/>
  <c r="B25" i="5" s="1"/>
</calcChain>
</file>

<file path=xl/sharedStrings.xml><?xml version="1.0" encoding="utf-8"?>
<sst xmlns="http://schemas.openxmlformats.org/spreadsheetml/2006/main" count="134" uniqueCount="128">
  <si>
    <t>Modelo financiero — Satrack S.A.S. | Fase 4, Reto Linzor</t>
  </si>
  <si>
    <t>Cómo usar este archivo</t>
  </si>
  <si>
    <t>1. Hoja 'Supuestos': todas las celdas amarillas son editables. Cambia cualquiera y el resto del modelo se recalcula solo.</t>
  </si>
  <si>
    <t>2. 'Proyección P&amp;L': construye ventas, EBITDA y utilidad neta 2025-2030 a partir de los supuestos de crecimiento y margen.</t>
  </si>
  <si>
    <t>3. 'Deuda': calendario simplificado de deuda a 5 años (entrada, intereses, amortización lineal, saldo final).</t>
  </si>
  <si>
    <t>4. 'Valuación y Retorno': EV de entrada y salida, ticket de equity de Linzor, MoM/IRR caso base, y tabla de sensibilidad 3x3 (múltiplo entrada x múltiplo salida).</t>
  </si>
  <si>
    <t>5. 'Puente de Retorno': descompone la creación de valor en crecimiento de EBITDA, expansión de múltiplo y desapalancamiento.</t>
  </si>
  <si>
    <t>Convención de colores</t>
  </si>
  <si>
    <t>Fondo amarillo + texto azul = supuesto editable   |   Texto negro = fórmula   |   Texto verde = referencia a otra hoja</t>
  </si>
  <si>
    <t>Origen de los datos base (2025)</t>
  </si>
  <si>
    <t>Ventas y EBITDA 2025: SIIS — Superintendencia de Sociedades, corte 2025-12-31, Satrack S.A.S. (NIT 830.059.699).</t>
  </si>
  <si>
    <t>EBITDA calculado como EBIT + Depreciación y Amortización real (no proxy), según detalle del flujo de efectivo de SIIS.</t>
  </si>
  <si>
    <t>Múltiplos de entrada/salida, crecimiento, deuda: SUPUESTOS DEL USUARIO, sin comparable de mercado confirmado.</t>
  </si>
  <si>
    <t>Único precedente cualitativo de Linzor en Colombia: Onest Colombia (2015), aumento de capital de US$39M para tomar</t>
  </si>
  <si>
    <t>control, con el Fondo III (3x más grande que el Fondo IV actual). Sector distinto (crédito, no SaaS) — no usar como ancla de múltiplo.</t>
  </si>
  <si>
    <t>Advertencia</t>
  </si>
  <si>
    <t>Este es un modelo de servilleta para sustentar una tesis de inversión en un reto de 3 slides, no una valuación de banco de</t>
  </si>
  <si>
    <t>inversión. Los supuestos de crecimiento, margen y múltiplos son razonados pero no verificados con comparables de transacción</t>
  </si>
  <si>
    <t>confirmados. Declarar esto abiertamente si se pregunta en la defensa oral.</t>
  </si>
  <si>
    <t>Supuestos del modelo — Satrack S.A.S.</t>
  </si>
  <si>
    <t>Datos base (2025)</t>
  </si>
  <si>
    <t>TRM COP/USD</t>
  </si>
  <si>
    <t>Ventas 2025 (COP mm)</t>
  </si>
  <si>
    <t>Fuente: SIIS, Satrack S.A.S., corte 2025-12-31</t>
  </si>
  <si>
    <t>EBITDA 2025 real (COP mm)</t>
  </si>
  <si>
    <t>EBIT (12,775) + D&amp;A real (5,081), vía flujo de efectivo SIIS</t>
  </si>
  <si>
    <t>Margen EBITDA 2025</t>
  </si>
  <si>
    <t>Crecimiento</t>
  </si>
  <si>
    <t>Crecimiento orgánico anual de ventas</t>
  </si>
  <si>
    <t>Basado en CAGR observado 2024-2025 (~12.8%), ver 03-target-satrack/02-financieros.md</t>
  </si>
  <si>
    <t>Boost adicional por add-ons (años 2-4, roll-up)</t>
  </si>
  <si>
    <t>Supuesto — consolidación de competidores más chicos, replicando patrón Numaris</t>
  </si>
  <si>
    <t>Rentabilidad</t>
  </si>
  <si>
    <t>Expansión de margen EBITDA anual (pp)</t>
  </si>
  <si>
    <t>Apalancamiento operativo — ya observado en 2024→2025 (margen subió 8.9pp de EBIT)</t>
  </si>
  <si>
    <t>D&amp;A (% de ventas, constante)</t>
  </si>
  <si>
    <t>D&amp;A real 2025 (5,081) dividido entre Ventas 2025 (102,903)</t>
  </si>
  <si>
    <t>Capex (% de ventas, constante)</t>
  </si>
  <si>
    <t>≈ Compras de PP&amp;E 2025 (4,761) / Ventas 2025, vía flujo de inversión SIIS</t>
  </si>
  <si>
    <t>Estructura de capital</t>
  </si>
  <si>
    <t>Deuda / EBITDA al cierre (x)</t>
  </si>
  <si>
    <t>Conservador, coherente con estilo de underwriting declarado de Linzor</t>
  </si>
  <si>
    <t>Costo de deuda (tasa anual)</t>
  </si>
  <si>
    <t>Supuesto — rango típico de crédito corporativo en Colombia</t>
  </si>
  <si>
    <t>Amortización anual (% saldo inicial, lineal)</t>
  </si>
  <si>
    <t>Amortización lineal a 5 años (100%/5)</t>
  </si>
  <si>
    <t>Tasa impositiva corporativa</t>
  </si>
  <si>
    <t>Tasa de renta corporativa Colombia</t>
  </si>
  <si>
    <t>Transacción</t>
  </si>
  <si>
    <t>Múltiplo de entrada — bajo</t>
  </si>
  <si>
    <t>Rango razonado, sin comparable de transacción confirmado (ver Instrucciones)</t>
  </si>
  <si>
    <t>Múltiplo de entrada — base</t>
  </si>
  <si>
    <t>Múltiplo de entrada — alto</t>
  </si>
  <si>
    <t>Múltiplo de salida — bajo</t>
  </si>
  <si>
    <t>Salida a un estratégico regional o fondo más grande, año 5</t>
  </si>
  <si>
    <t>Múltiplo de salida — base</t>
  </si>
  <si>
    <t>Múltiplo de salida — alto</t>
  </si>
  <si>
    <t>Horizonte de inversión (años)</t>
  </si>
  <si>
    <t>% Control adquirido por Linzor</t>
  </si>
  <si>
    <t>Supuesto — posición de control, coherente con la tesis declarada de Linzor</t>
  </si>
  <si>
    <t>Proyección P&amp;L — Satrack S.A.S. (COP mm salvo indicado)</t>
  </si>
  <si>
    <t>Rubro</t>
  </si>
  <si>
    <t>2025 (base)</t>
  </si>
  <si>
    <t>2026</t>
  </si>
  <si>
    <t>2027</t>
  </si>
  <si>
    <t>2028</t>
  </si>
  <si>
    <t>2029</t>
  </si>
  <si>
    <t>2030</t>
  </si>
  <si>
    <t>Crecimiento total ventas (%)</t>
  </si>
  <si>
    <t>Ventas (COP mm)</t>
  </si>
  <si>
    <t>Margen EBITDA (%)</t>
  </si>
  <si>
    <t>EBITDA (COP mm)</t>
  </si>
  <si>
    <t>D&amp;A (COP mm)</t>
  </si>
  <si>
    <t>EBIT (COP mm)</t>
  </si>
  <si>
    <t>Intereses (COP mm)</t>
  </si>
  <si>
    <t>EBT (COP mm)</t>
  </si>
  <si>
    <t>Impuestos (COP mm)</t>
  </si>
  <si>
    <t>Utilidad neta (COP mm)</t>
  </si>
  <si>
    <t>Ventas (USD mm)</t>
  </si>
  <si>
    <t>EBITDA (USD mm)</t>
  </si>
  <si>
    <t>Calendario de deuda — entrada apalancada, amortización lineal a 5 años</t>
  </si>
  <si>
    <t>Deuda al cierre (entrada, COP mm)</t>
  </si>
  <si>
    <t>Saldo inicial (COP mm)</t>
  </si>
  <si>
    <t>Amortización (COP mm)</t>
  </si>
  <si>
    <t>Saldo final (COP mm)</t>
  </si>
  <si>
    <t>Intereses (COP mm, sobre saldo inicial)</t>
  </si>
  <si>
    <t>Valuación y Retorno — caso base</t>
  </si>
  <si>
    <t>Entrada (2025 / cierre de la transacción)</t>
  </si>
  <si>
    <t>EBITDA 2025 (COP mm)</t>
  </si>
  <si>
    <t>EV entrada — bajo (COP mm)</t>
  </si>
  <si>
    <t>EV entrada — base (COP mm)</t>
  </si>
  <si>
    <t>EV entrada — alto (COP mm)</t>
  </si>
  <si>
    <t>Deuda al cierre (COP mm)</t>
  </si>
  <si>
    <t>Equity value entrada — base (COP mm)</t>
  </si>
  <si>
    <t>Ticket equity Linzor — base (COP mm)</t>
  </si>
  <si>
    <t>Ticket equity Linzor — base (USD mm)</t>
  </si>
  <si>
    <t>Salida (año 5 / 2030)</t>
  </si>
  <si>
    <t>EBITDA salida, año 5 (COP mm)</t>
  </si>
  <si>
    <t>EV salida — bajo (COP mm)</t>
  </si>
  <si>
    <t>EV salida — base (COP mm)</t>
  </si>
  <si>
    <t>EV salida — alto (COP mm)</t>
  </si>
  <si>
    <t>Deuda neta salida (COP mm)</t>
  </si>
  <si>
    <t>Equity value salida — base (COP mm)</t>
  </si>
  <si>
    <t>Proceeds a Linzor — base (COP mm)</t>
  </si>
  <si>
    <t>Proceeds a Linzor — base (USD mm)</t>
  </si>
  <si>
    <t>Retorno — caso base</t>
  </si>
  <si>
    <t>MoM (Múltiplo sobre el capital)</t>
  </si>
  <si>
    <t>IRR</t>
  </si>
  <si>
    <t>Sensibilidad de MoM — múltiplo entrada (filas) x múltiplo salida (columnas)</t>
  </si>
  <si>
    <t>Entrada \ Salida</t>
  </si>
  <si>
    <t>Bajo</t>
  </si>
  <si>
    <t>Base</t>
  </si>
  <si>
    <t>Alto</t>
  </si>
  <si>
    <t>Entrada Bajo</t>
  </si>
  <si>
    <t>Entrada Base</t>
  </si>
  <si>
    <t>Entrada Alto</t>
  </si>
  <si>
    <t>Nota: la tabla asume que el % de control y el saldo de deuda no cambian entre escenarios de múltiplo —</t>
  </si>
  <si>
    <t>solo varía el precio de entrada/salida pagado por el mismo EBITDA. Deuda dimensionada como x EBITDA, no como % del EV.</t>
  </si>
  <si>
    <t>Puente de retorno — caso base (descomposición de creación de valor)</t>
  </si>
  <si>
    <t>Componente</t>
  </si>
  <si>
    <t>COP mm</t>
  </si>
  <si>
    <t>% del total</t>
  </si>
  <si>
    <t>1. Crecimiento de EBITDA (a múltiplo de entrada constante)</t>
  </si>
  <si>
    <t>2. Expansión de múltiplo (a EBITDA de salida constante)</t>
  </si>
  <si>
    <t>3. Desapalancamiento (reducción de deuda neta)</t>
  </si>
  <si>
    <t>Total creación de valor de equity (COP mm)</t>
  </si>
  <si>
    <t>Verificación: Equity value salida − Equity value entrada (COP mm)</t>
  </si>
  <si>
    <t>(debe coincidir con el total de arriba)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</si>
</sst>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x"/>
    <numFmt numFmtId="166" formatCode="\$#,##0.0"/>
    <numFmt numFmtId="167" formatCode="0.00\x"/>
  </numFmts>
  <fonts count="12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3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  <font>
      <b/>
      <sz val="10"/>
      <color rgb="FF008000"/>
      <name val="Arial"/>
      <charset val="1"/>
    </font>
    <font>
      <i/>
      <sz val="9"/>
      <color rgb="FF000000"/>
      <name val="Arial"/>
      <charset val="1"/>
    </font>
    <font>
      <i/>
      <sz val="9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3" fontId="6" fillId="2" borderId="1" xfId="0" applyNumberFormat="1" applyFont="1" applyFill="1" applyBorder="1"/>
    <xf numFmtId="164" fontId="7" fillId="0" borderId="1" xfId="0" applyNumberFormat="1" applyFont="1" applyBorder="1"/>
    <xf numFmtId="164" fontId="6" fillId="2" borderId="1" xfId="0" applyNumberFormat="1" applyFont="1" applyFill="1" applyBorder="1"/>
    <xf numFmtId="165" fontId="6" fillId="2" borderId="1" xfId="0" applyNumberFormat="1" applyFont="1" applyFill="1" applyBorder="1"/>
    <xf numFmtId="1" fontId="6" fillId="2" borderId="1" xfId="0" applyNumberFormat="1" applyFont="1" applyFill="1" applyBorder="1"/>
    <xf numFmtId="0" fontId="5" fillId="0" borderId="1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3" fontId="5" fillId="0" borderId="1" xfId="0" applyNumberFormat="1" applyFont="1" applyBorder="1"/>
    <xf numFmtId="3" fontId="2" fillId="0" borderId="1" xfId="0" applyNumberFormat="1" applyFont="1" applyBorder="1"/>
    <xf numFmtId="166" fontId="7" fillId="0" borderId="1" xfId="0" applyNumberFormat="1" applyFont="1" applyBorder="1"/>
    <xf numFmtId="0" fontId="4" fillId="0" borderId="1" xfId="0" applyFont="1" applyBorder="1"/>
    <xf numFmtId="3" fontId="7" fillId="0" borderId="1" xfId="0" applyNumberFormat="1" applyFont="1" applyBorder="1"/>
    <xf numFmtId="166" fontId="9" fillId="0" borderId="1" xfId="0" applyNumberFormat="1" applyFont="1" applyBorder="1"/>
    <xf numFmtId="167" fontId="5" fillId="0" borderId="1" xfId="0" applyNumberFormat="1" applyFont="1" applyBorder="1"/>
    <xf numFmtId="164" fontId="5" fillId="0" borderId="1" xfId="0" applyNumberFormat="1" applyFont="1" applyBorder="1"/>
    <xf numFmtId="167" fontId="2" fillId="0" borderId="1" xfId="0" applyNumberFormat="1" applyFont="1" applyBorder="1"/>
    <xf numFmtId="0" fontId="10" fillId="0" borderId="1" xfId="0" applyFont="1" applyBorder="1"/>
    <xf numFmtId="3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zoomScale="185" zoomScaleNormal="100" workbookViewId="0"/>
  </sheetViews>
  <sheetFormatPr baseColWidth="10" defaultColWidth="8.6640625" defaultRowHeight="15" x14ac:dyDescent="0.2"/>
  <cols>
    <col min="1" max="1" width="145" customWidth="1"/>
  </cols>
  <sheetData>
    <row r="1" spans="1:1" ht="17.25" customHeight="1" x14ac:dyDescent="0.2">
      <c r="A1" s="1" t="s">
        <v>0</v>
      </c>
    </row>
    <row r="2" spans="1:1" ht="15" customHeight="1" x14ac:dyDescent="0.2">
      <c r="A2" s="2"/>
    </row>
    <row r="3" spans="1:1" ht="15" customHeight="1" x14ac:dyDescent="0.2">
      <c r="A3" s="3" t="s">
        <v>1</v>
      </c>
    </row>
    <row r="4" spans="1:1" ht="15" customHeight="1" x14ac:dyDescent="0.2">
      <c r="A4" s="2" t="s">
        <v>2</v>
      </c>
    </row>
    <row r="5" spans="1:1" ht="15" customHeight="1" x14ac:dyDescent="0.2">
      <c r="A5" s="2" t="s">
        <v>3</v>
      </c>
    </row>
    <row r="6" spans="1:1" ht="15" customHeight="1" x14ac:dyDescent="0.2">
      <c r="A6" s="2" t="s">
        <v>4</v>
      </c>
    </row>
    <row r="7" spans="1:1" ht="15" customHeight="1" x14ac:dyDescent="0.2">
      <c r="A7" s="2" t="s">
        <v>5</v>
      </c>
    </row>
    <row r="8" spans="1:1" ht="15" customHeight="1" x14ac:dyDescent="0.2">
      <c r="A8" s="2" t="s">
        <v>6</v>
      </c>
    </row>
    <row r="9" spans="1:1" ht="15" customHeight="1" x14ac:dyDescent="0.2">
      <c r="A9" s="2"/>
    </row>
    <row r="10" spans="1:1" ht="15" customHeight="1" x14ac:dyDescent="0.2">
      <c r="A10" s="3" t="s">
        <v>7</v>
      </c>
    </row>
    <row r="11" spans="1:1" ht="15" customHeight="1" x14ac:dyDescent="0.2">
      <c r="A11" s="2" t="s">
        <v>8</v>
      </c>
    </row>
    <row r="12" spans="1:1" ht="15" customHeight="1" x14ac:dyDescent="0.2">
      <c r="A12" s="2"/>
    </row>
    <row r="13" spans="1:1" ht="15" customHeight="1" x14ac:dyDescent="0.2">
      <c r="A13" s="3" t="s">
        <v>9</v>
      </c>
    </row>
    <row r="14" spans="1:1" ht="15" customHeight="1" x14ac:dyDescent="0.2">
      <c r="A14" s="2" t="s">
        <v>10</v>
      </c>
    </row>
    <row r="15" spans="1:1" ht="15" customHeight="1" x14ac:dyDescent="0.2">
      <c r="A15" s="2" t="s">
        <v>11</v>
      </c>
    </row>
    <row r="16" spans="1:1" ht="15" customHeight="1" x14ac:dyDescent="0.2">
      <c r="A16" s="2" t="s">
        <v>12</v>
      </c>
    </row>
    <row r="17" spans="1:1" ht="15" customHeight="1" x14ac:dyDescent="0.2">
      <c r="A17" s="2" t="s">
        <v>13</v>
      </c>
    </row>
    <row r="18" spans="1:1" ht="15" customHeight="1" x14ac:dyDescent="0.2">
      <c r="A18" s="2" t="s">
        <v>14</v>
      </c>
    </row>
    <row r="19" spans="1:1" ht="15" customHeight="1" x14ac:dyDescent="0.2">
      <c r="A19" s="2"/>
    </row>
    <row r="20" spans="1:1" ht="15" customHeight="1" x14ac:dyDescent="0.2">
      <c r="A20" s="3" t="s">
        <v>15</v>
      </c>
    </row>
    <row r="21" spans="1:1" ht="15" customHeight="1" x14ac:dyDescent="0.2">
      <c r="A21" s="2" t="s">
        <v>16</v>
      </c>
    </row>
    <row r="22" spans="1:1" ht="15" customHeight="1" x14ac:dyDescent="0.2">
      <c r="A22" s="2" t="s">
        <v>17</v>
      </c>
    </row>
    <row r="23" spans="1:1" ht="15" customHeight="1" x14ac:dyDescent="0.2">
      <c r="A23" s="2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abSelected="1" zoomScale="144" zoomScaleNormal="100" workbookViewId="0">
      <selection activeCell="C6" sqref="C6"/>
    </sheetView>
  </sheetViews>
  <sheetFormatPr baseColWidth="10" defaultColWidth="8.6640625" defaultRowHeight="15" x14ac:dyDescent="0.2"/>
  <cols>
    <col min="1" max="1" width="48" customWidth="1"/>
    <col min="2" max="2" width="14" customWidth="1"/>
    <col min="3" max="3" width="55" customWidth="1"/>
  </cols>
  <sheetData>
    <row r="1" spans="1:3" ht="15.75" customHeight="1" x14ac:dyDescent="0.2">
      <c r="A1" s="4" t="s">
        <v>19</v>
      </c>
    </row>
    <row r="3" spans="1:3" ht="15" customHeight="1" x14ac:dyDescent="0.2">
      <c r="A3" s="5" t="s">
        <v>20</v>
      </c>
    </row>
    <row r="4" spans="1:3" ht="15" customHeight="1" x14ac:dyDescent="0.2">
      <c r="A4" s="6" t="s">
        <v>21</v>
      </c>
      <c r="B4" s="7">
        <v>3192</v>
      </c>
      <c r="C4" s="6"/>
    </row>
    <row r="5" spans="1:3" ht="15" customHeight="1" x14ac:dyDescent="0.2">
      <c r="A5" s="6" t="s">
        <v>22</v>
      </c>
      <c r="B5" s="7">
        <v>102903</v>
      </c>
      <c r="C5" s="6" t="s">
        <v>23</v>
      </c>
    </row>
    <row r="6" spans="1:3" ht="15" customHeight="1" x14ac:dyDescent="0.2">
      <c r="A6" s="6" t="s">
        <v>24</v>
      </c>
      <c r="B6" s="7">
        <v>17856</v>
      </c>
      <c r="C6" s="6" t="s">
        <v>25</v>
      </c>
    </row>
    <row r="7" spans="1:3" ht="15" customHeight="1" x14ac:dyDescent="0.2">
      <c r="A7" s="6" t="s">
        <v>26</v>
      </c>
      <c r="B7" s="8">
        <f>B6/B5</f>
        <v>0.17352263782397015</v>
      </c>
      <c r="C7" s="6"/>
    </row>
    <row r="9" spans="1:3" ht="15" customHeight="1" x14ac:dyDescent="0.2">
      <c r="A9" s="5" t="s">
        <v>27</v>
      </c>
    </row>
    <row r="10" spans="1:3" ht="15" customHeight="1" x14ac:dyDescent="0.2">
      <c r="A10" s="6" t="s">
        <v>28</v>
      </c>
      <c r="B10" s="9">
        <v>0.13</v>
      </c>
      <c r="C10" s="6" t="s">
        <v>29</v>
      </c>
    </row>
    <row r="11" spans="1:3" ht="15" customHeight="1" x14ac:dyDescent="0.2">
      <c r="A11" s="6" t="s">
        <v>30</v>
      </c>
      <c r="B11" s="9">
        <v>0.05</v>
      </c>
      <c r="C11" s="6" t="s">
        <v>31</v>
      </c>
    </row>
    <row r="13" spans="1:3" ht="15" customHeight="1" x14ac:dyDescent="0.2">
      <c r="A13" s="5" t="s">
        <v>32</v>
      </c>
    </row>
    <row r="14" spans="1:3" ht="15" customHeight="1" x14ac:dyDescent="0.2">
      <c r="A14" s="6" t="s">
        <v>33</v>
      </c>
      <c r="B14" s="9">
        <v>8.0000000000000002E-3</v>
      </c>
      <c r="C14" s="6" t="s">
        <v>34</v>
      </c>
    </row>
    <row r="15" spans="1:3" ht="15" customHeight="1" x14ac:dyDescent="0.2">
      <c r="A15" s="6" t="s">
        <v>35</v>
      </c>
      <c r="B15" s="9">
        <v>4.9000000000000002E-2</v>
      </c>
      <c r="C15" s="6" t="s">
        <v>36</v>
      </c>
    </row>
    <row r="16" spans="1:3" ht="15" customHeight="1" x14ac:dyDescent="0.2">
      <c r="A16" s="6" t="s">
        <v>37</v>
      </c>
      <c r="B16" s="9">
        <v>4.4999999999999998E-2</v>
      </c>
      <c r="C16" s="6" t="s">
        <v>38</v>
      </c>
    </row>
    <row r="18" spans="1:3" ht="15" customHeight="1" x14ac:dyDescent="0.2">
      <c r="A18" s="5" t="s">
        <v>39</v>
      </c>
    </row>
    <row r="19" spans="1:3" ht="15" customHeight="1" x14ac:dyDescent="0.2">
      <c r="A19" s="6" t="s">
        <v>40</v>
      </c>
      <c r="B19" s="10">
        <v>1</v>
      </c>
      <c r="C19" s="6" t="s">
        <v>41</v>
      </c>
    </row>
    <row r="20" spans="1:3" ht="15" customHeight="1" x14ac:dyDescent="0.2">
      <c r="A20" s="6" t="s">
        <v>42</v>
      </c>
      <c r="B20" s="9">
        <v>0.11</v>
      </c>
      <c r="C20" s="6" t="s">
        <v>43</v>
      </c>
    </row>
    <row r="21" spans="1:3" ht="15" customHeight="1" x14ac:dyDescent="0.2">
      <c r="A21" s="6" t="s">
        <v>44</v>
      </c>
      <c r="B21" s="9">
        <v>0.2</v>
      </c>
      <c r="C21" s="6" t="s">
        <v>45</v>
      </c>
    </row>
    <row r="22" spans="1:3" ht="15" customHeight="1" x14ac:dyDescent="0.2">
      <c r="A22" s="6" t="s">
        <v>46</v>
      </c>
      <c r="B22" s="9">
        <v>0.35</v>
      </c>
      <c r="C22" s="6" t="s">
        <v>47</v>
      </c>
    </row>
    <row r="24" spans="1:3" ht="15" customHeight="1" x14ac:dyDescent="0.2">
      <c r="A24" s="5" t="s">
        <v>48</v>
      </c>
    </row>
    <row r="25" spans="1:3" ht="15" customHeight="1" x14ac:dyDescent="0.2">
      <c r="A25" s="6" t="s">
        <v>49</v>
      </c>
      <c r="B25" s="10">
        <v>6</v>
      </c>
      <c r="C25" s="6" t="s">
        <v>50</v>
      </c>
    </row>
    <row r="26" spans="1:3" ht="15" customHeight="1" x14ac:dyDescent="0.2">
      <c r="A26" s="6" t="s">
        <v>51</v>
      </c>
      <c r="B26" s="10">
        <v>7</v>
      </c>
    </row>
    <row r="27" spans="1:3" ht="15" customHeight="1" x14ac:dyDescent="0.2">
      <c r="A27" s="6" t="s">
        <v>52</v>
      </c>
      <c r="B27" s="10">
        <v>8</v>
      </c>
    </row>
    <row r="28" spans="1:3" ht="15" customHeight="1" x14ac:dyDescent="0.2">
      <c r="A28" s="6" t="s">
        <v>53</v>
      </c>
      <c r="B28" s="10">
        <v>7.5</v>
      </c>
      <c r="C28" s="6" t="s">
        <v>54</v>
      </c>
    </row>
    <row r="29" spans="1:3" ht="15" customHeight="1" x14ac:dyDescent="0.2">
      <c r="A29" s="6" t="s">
        <v>55</v>
      </c>
      <c r="B29" s="10">
        <v>8.5</v>
      </c>
    </row>
    <row r="30" spans="1:3" ht="15" customHeight="1" x14ac:dyDescent="0.2">
      <c r="A30" s="6" t="s">
        <v>56</v>
      </c>
      <c r="B30" s="10">
        <v>9.5</v>
      </c>
    </row>
    <row r="31" spans="1:3" ht="15" customHeight="1" x14ac:dyDescent="0.2">
      <c r="A31" s="6" t="s">
        <v>57</v>
      </c>
      <c r="B31" s="11">
        <v>5</v>
      </c>
    </row>
    <row r="32" spans="1:3" ht="15" customHeight="1" x14ac:dyDescent="0.2">
      <c r="A32" s="6" t="s">
        <v>58</v>
      </c>
      <c r="B32" s="9">
        <v>0.8</v>
      </c>
      <c r="C32" s="6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="150" zoomScaleNormal="100" workbookViewId="0">
      <selection activeCell="C4" sqref="C4"/>
    </sheetView>
  </sheetViews>
  <sheetFormatPr baseColWidth="10" defaultColWidth="8.6640625" defaultRowHeight="15" x14ac:dyDescent="0.2"/>
  <cols>
    <col min="1" max="1" width="30" customWidth="1"/>
    <col min="2" max="7" width="13" customWidth="1"/>
  </cols>
  <sheetData>
    <row r="1" spans="1:7" ht="15" customHeight="1" x14ac:dyDescent="0.2">
      <c r="A1" s="12" t="s">
        <v>60</v>
      </c>
    </row>
    <row r="3" spans="1:7" ht="15" customHeight="1" x14ac:dyDescent="0.2">
      <c r="A3" s="13" t="s">
        <v>61</v>
      </c>
      <c r="B3" s="13" t="s">
        <v>62</v>
      </c>
      <c r="C3" s="13" t="s">
        <v>63</v>
      </c>
      <c r="D3" s="13" t="s">
        <v>64</v>
      </c>
      <c r="E3" s="13" t="s">
        <v>65</v>
      </c>
      <c r="F3" s="13" t="s">
        <v>66</v>
      </c>
      <c r="G3" s="13" t="s">
        <v>67</v>
      </c>
    </row>
    <row r="4" spans="1:7" ht="15" customHeight="1" x14ac:dyDescent="0.2">
      <c r="A4" s="14" t="s">
        <v>68</v>
      </c>
      <c r="C4" s="15">
        <f>Supuestos!$B$10</f>
        <v>0.13</v>
      </c>
      <c r="D4" s="15">
        <f>Supuestos!$B$10+Supuestos!$B$11</f>
        <v>0.18</v>
      </c>
      <c r="E4" s="15">
        <f>Supuestos!$B$10+Supuestos!$B$11</f>
        <v>0.18</v>
      </c>
      <c r="F4" s="15">
        <f>Supuestos!$B$10+Supuestos!$B$11</f>
        <v>0.18</v>
      </c>
      <c r="G4" s="15">
        <f>Supuestos!$B$10</f>
        <v>0.13</v>
      </c>
    </row>
    <row r="5" spans="1:7" ht="15" customHeight="1" x14ac:dyDescent="0.2">
      <c r="A5" s="12" t="s">
        <v>69</v>
      </c>
      <c r="B5" s="16">
        <f>Supuestos!$B$5</f>
        <v>102903</v>
      </c>
      <c r="C5" s="16">
        <f>B5*(1+C4)</f>
        <v>116280.38999999998</v>
      </c>
      <c r="D5" s="16">
        <f>C5*(1+D4)</f>
        <v>137210.86019999997</v>
      </c>
      <c r="E5" s="16">
        <f>D5*(1+E4)</f>
        <v>161908.81503599996</v>
      </c>
      <c r="F5" s="16">
        <f>E5*(1+F4)</f>
        <v>191052.40174247994</v>
      </c>
      <c r="G5" s="16">
        <f>F5*(1+G4)</f>
        <v>215889.2139690023</v>
      </c>
    </row>
    <row r="6" spans="1:7" ht="15" customHeight="1" x14ac:dyDescent="0.2">
      <c r="A6" s="14" t="s">
        <v>70</v>
      </c>
      <c r="B6" s="15">
        <f>Supuestos!$B$7</f>
        <v>0.17352263782397015</v>
      </c>
      <c r="C6" s="15">
        <f>B6+Supuestos!$B$14</f>
        <v>0.18152263782397016</v>
      </c>
      <c r="D6" s="15">
        <f>C6+Supuestos!$B$14</f>
        <v>0.18952263782397016</v>
      </c>
      <c r="E6" s="15">
        <f>D6+Supuestos!$B$14</f>
        <v>0.19752263782397017</v>
      </c>
      <c r="F6" s="15">
        <f>E6+Supuestos!$B$14</f>
        <v>0.20552263782397018</v>
      </c>
      <c r="G6" s="15">
        <f>F6+Supuestos!$B$14</f>
        <v>0.21352263782397018</v>
      </c>
    </row>
    <row r="7" spans="1:7" ht="15" customHeight="1" x14ac:dyDescent="0.2">
      <c r="A7" s="12" t="s">
        <v>71</v>
      </c>
      <c r="B7" s="16">
        <f t="shared" ref="B7:G7" si="0">B5*B6</f>
        <v>17856</v>
      </c>
      <c r="C7" s="16">
        <f t="shared" si="0"/>
        <v>21107.523119999998</v>
      </c>
      <c r="D7" s="16">
        <f t="shared" si="0"/>
        <v>26004.564163199997</v>
      </c>
      <c r="E7" s="16">
        <f t="shared" si="0"/>
        <v>31980.656232863996</v>
      </c>
      <c r="F7" s="16">
        <f t="shared" si="0"/>
        <v>39265.593568719356</v>
      </c>
      <c r="G7" s="16">
        <f t="shared" si="0"/>
        <v>46097.234444404887</v>
      </c>
    </row>
    <row r="8" spans="1:7" ht="15" customHeight="1" x14ac:dyDescent="0.2">
      <c r="A8" s="14" t="s">
        <v>72</v>
      </c>
      <c r="B8" s="17">
        <f>B5*Supuestos!$B$15</f>
        <v>5042.2470000000003</v>
      </c>
      <c r="C8" s="17">
        <f>C5*Supuestos!$B$15</f>
        <v>5697.7391099999995</v>
      </c>
      <c r="D8" s="17">
        <f>D5*Supuestos!$B$15</f>
        <v>6723.3321497999987</v>
      </c>
      <c r="E8" s="17">
        <f>E5*Supuestos!$B$15</f>
        <v>7933.5319367639986</v>
      </c>
      <c r="F8" s="17">
        <f>F5*Supuestos!$B$15</f>
        <v>9361.5676853815166</v>
      </c>
      <c r="G8" s="17">
        <f>G5*Supuestos!$B$15</f>
        <v>10578.571484481114</v>
      </c>
    </row>
    <row r="9" spans="1:7" ht="15" customHeight="1" x14ac:dyDescent="0.2">
      <c r="A9" s="14" t="s">
        <v>73</v>
      </c>
      <c r="B9" s="17">
        <f t="shared" ref="B9:G9" si="1">B7-B8</f>
        <v>12813.753000000001</v>
      </c>
      <c r="C9" s="17">
        <f t="shared" si="1"/>
        <v>15409.784009999999</v>
      </c>
      <c r="D9" s="17">
        <f t="shared" si="1"/>
        <v>19281.232013399997</v>
      </c>
      <c r="E9" s="17">
        <f t="shared" si="1"/>
        <v>24047.124296099995</v>
      </c>
      <c r="F9" s="17">
        <f t="shared" si="1"/>
        <v>29904.025883337839</v>
      </c>
      <c r="G9" s="17">
        <f t="shared" si="1"/>
        <v>35518.662959923771</v>
      </c>
    </row>
    <row r="10" spans="1:7" ht="15" customHeight="1" x14ac:dyDescent="0.2">
      <c r="A10" s="14" t="s">
        <v>74</v>
      </c>
      <c r="B10" s="14"/>
      <c r="C10" s="17">
        <f>Deuda!C8</f>
        <v>1964.16</v>
      </c>
      <c r="D10" s="17">
        <f>Deuda!D8</f>
        <v>1571.328</v>
      </c>
      <c r="E10" s="17">
        <f>Deuda!E8</f>
        <v>1178.4959999999999</v>
      </c>
      <c r="F10" s="17">
        <f>Deuda!F8</f>
        <v>785.66399999999976</v>
      </c>
      <c r="G10" s="17">
        <f>Deuda!G8</f>
        <v>392.83199999999971</v>
      </c>
    </row>
    <row r="11" spans="1:7" ht="15" customHeight="1" x14ac:dyDescent="0.2">
      <c r="A11" s="14" t="s">
        <v>75</v>
      </c>
      <c r="B11" s="17">
        <f t="shared" ref="B11:G11" si="2">B9-B10</f>
        <v>12813.753000000001</v>
      </c>
      <c r="C11" s="17">
        <f t="shared" si="2"/>
        <v>13445.62401</v>
      </c>
      <c r="D11" s="17">
        <f t="shared" si="2"/>
        <v>17709.904013399995</v>
      </c>
      <c r="E11" s="17">
        <f t="shared" si="2"/>
        <v>22868.628296099996</v>
      </c>
      <c r="F11" s="17">
        <f t="shared" si="2"/>
        <v>29118.361883337839</v>
      </c>
      <c r="G11" s="17">
        <f t="shared" si="2"/>
        <v>35125.830959923769</v>
      </c>
    </row>
    <row r="12" spans="1:7" ht="15" customHeight="1" x14ac:dyDescent="0.2">
      <c r="A12" s="14" t="s">
        <v>76</v>
      </c>
      <c r="B12" s="17">
        <f>MAX(B11,0)*Supuestos!$B$22</f>
        <v>4484.8135499999999</v>
      </c>
      <c r="C12" s="17">
        <f>MAX(C11,0)*Supuestos!$B$22</f>
        <v>4705.9684034999991</v>
      </c>
      <c r="D12" s="17">
        <f>MAX(D11,0)*Supuestos!$B$22</f>
        <v>6198.4664046899979</v>
      </c>
      <c r="E12" s="17">
        <f>MAX(E11,0)*Supuestos!$B$22</f>
        <v>8004.0199036349977</v>
      </c>
      <c r="F12" s="17">
        <f>MAX(F11,0)*Supuestos!$B$22</f>
        <v>10191.426659168243</v>
      </c>
      <c r="G12" s="17">
        <f>MAX(G11,0)*Supuestos!$B$22</f>
        <v>12294.040835973319</v>
      </c>
    </row>
    <row r="13" spans="1:7" ht="15" customHeight="1" x14ac:dyDescent="0.2">
      <c r="A13" s="12" t="s">
        <v>77</v>
      </c>
      <c r="B13" s="16">
        <f t="shared" ref="B13:G13" si="3">B11-B12</f>
        <v>8328.9394500000017</v>
      </c>
      <c r="C13" s="16">
        <f t="shared" si="3"/>
        <v>8739.6556065000004</v>
      </c>
      <c r="D13" s="16">
        <f t="shared" si="3"/>
        <v>11511.437608709997</v>
      </c>
      <c r="E13" s="16">
        <f t="shared" si="3"/>
        <v>14864.608392464997</v>
      </c>
      <c r="F13" s="16">
        <f t="shared" si="3"/>
        <v>18926.935224169596</v>
      </c>
      <c r="G13" s="16">
        <f t="shared" si="3"/>
        <v>22831.79012395045</v>
      </c>
    </row>
    <row r="15" spans="1:7" ht="15" customHeight="1" x14ac:dyDescent="0.2">
      <c r="A15" s="14" t="s">
        <v>78</v>
      </c>
      <c r="B15" s="18">
        <f>B5/Supuestos!$B$4</f>
        <v>32.237781954887218</v>
      </c>
      <c r="C15" s="18">
        <f>C5/Supuestos!$B$4</f>
        <v>36.428693609022552</v>
      </c>
      <c r="D15" s="18">
        <f>D5/Supuestos!$B$4</f>
        <v>42.985858458646604</v>
      </c>
      <c r="E15" s="18">
        <f>E5/Supuestos!$B$4</f>
        <v>50.723312981202994</v>
      </c>
      <c r="F15" s="18">
        <f>F5/Supuestos!$B$4</f>
        <v>59.85350931781953</v>
      </c>
      <c r="G15" s="18">
        <f>G5/Supuestos!$B$4</f>
        <v>67.634465529136065</v>
      </c>
    </row>
    <row r="16" spans="1:7" ht="15" customHeight="1" x14ac:dyDescent="0.2">
      <c r="A16" s="14" t="s">
        <v>79</v>
      </c>
      <c r="B16" s="18">
        <f>B7/Supuestos!$B$4</f>
        <v>5.5939849624060152</v>
      </c>
      <c r="C16" s="18">
        <f>C7/Supuestos!$B$4</f>
        <v>6.6126325563909765</v>
      </c>
      <c r="D16" s="18">
        <f>D7/Supuestos!$B$4</f>
        <v>8.146793284210526</v>
      </c>
      <c r="E16" s="18">
        <f>E7/Supuestos!$B$4</f>
        <v>10.019002579218045</v>
      </c>
      <c r="F16" s="18">
        <f>F7/Supuestos!$B$4</f>
        <v>12.301251118019849</v>
      </c>
      <c r="G16" s="18">
        <f>G7/Supuestos!$B$4</f>
        <v>14.441489487595517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7" width="13" customWidth="1"/>
  </cols>
  <sheetData>
    <row r="1" spans="1:7" ht="15" customHeight="1" x14ac:dyDescent="0.2">
      <c r="A1" s="12" t="s">
        <v>80</v>
      </c>
    </row>
    <row r="3" spans="1:7" ht="15" customHeight="1" x14ac:dyDescent="0.2">
      <c r="A3" s="13" t="s">
        <v>61</v>
      </c>
      <c r="B3" s="13" t="s">
        <v>63</v>
      </c>
      <c r="C3" s="13" t="s">
        <v>64</v>
      </c>
      <c r="D3" s="13" t="s">
        <v>65</v>
      </c>
      <c r="E3" s="13" t="s">
        <v>66</v>
      </c>
      <c r="F3" s="13" t="s">
        <v>67</v>
      </c>
    </row>
    <row r="4" spans="1:7" ht="15" customHeight="1" x14ac:dyDescent="0.2">
      <c r="A4" s="14" t="s">
        <v>81</v>
      </c>
      <c r="B4" s="17">
        <f>Supuestos!$B$19*'Proyección P&amp;L'!$B$7</f>
        <v>17856</v>
      </c>
    </row>
    <row r="5" spans="1:7" ht="15" customHeight="1" x14ac:dyDescent="0.2">
      <c r="A5" s="14" t="s">
        <v>82</v>
      </c>
      <c r="C5" s="17">
        <f>B4</f>
        <v>17856</v>
      </c>
      <c r="D5" s="17">
        <f>C7</f>
        <v>14284.8</v>
      </c>
      <c r="E5" s="17">
        <f>D7</f>
        <v>10713.599999999999</v>
      </c>
      <c r="F5" s="17">
        <f>E7</f>
        <v>7142.3999999999978</v>
      </c>
      <c r="G5" s="17">
        <f>F7</f>
        <v>3571.1999999999975</v>
      </c>
    </row>
    <row r="6" spans="1:7" ht="15" customHeight="1" x14ac:dyDescent="0.2">
      <c r="A6" s="14" t="s">
        <v>83</v>
      </c>
      <c r="C6" s="17">
        <f>B4*Supuestos!$B$21</f>
        <v>3571.2000000000003</v>
      </c>
      <c r="D6" s="17">
        <f>B4*Supuestos!$B$21</f>
        <v>3571.2000000000003</v>
      </c>
      <c r="E6" s="17">
        <f>B4*Supuestos!$B$21</f>
        <v>3571.2000000000003</v>
      </c>
      <c r="F6" s="17">
        <f>B4*Supuestos!$B$21</f>
        <v>3571.2000000000003</v>
      </c>
      <c r="G6" s="17">
        <f>B4*Supuestos!$B$21</f>
        <v>3571.2000000000003</v>
      </c>
    </row>
    <row r="7" spans="1:7" ht="15" customHeight="1" x14ac:dyDescent="0.2">
      <c r="A7" s="14" t="s">
        <v>84</v>
      </c>
      <c r="C7" s="16">
        <f>C5-C6</f>
        <v>14284.8</v>
      </c>
      <c r="D7" s="16">
        <f>D5-D6</f>
        <v>10713.599999999999</v>
      </c>
      <c r="E7" s="16">
        <f>E5-E6</f>
        <v>7142.3999999999978</v>
      </c>
      <c r="F7" s="16">
        <f>F5-F6</f>
        <v>3571.1999999999975</v>
      </c>
      <c r="G7" s="16">
        <f>G5-G6</f>
        <v>0</v>
      </c>
    </row>
    <row r="8" spans="1:7" ht="15" customHeight="1" x14ac:dyDescent="0.2">
      <c r="A8" s="14" t="s">
        <v>85</v>
      </c>
      <c r="C8" s="17">
        <f>C5*Supuestos!$B$20</f>
        <v>1964.16</v>
      </c>
      <c r="D8" s="17">
        <f>D5*Supuestos!$B$20</f>
        <v>1571.328</v>
      </c>
      <c r="E8" s="17">
        <f>E5*Supuestos!$B$20</f>
        <v>1178.4959999999999</v>
      </c>
      <c r="F8" s="17">
        <f>F5*Supuestos!$B$20</f>
        <v>785.66399999999976</v>
      </c>
      <c r="G8" s="17">
        <f>G5*Supuestos!$B$20</f>
        <v>392.83199999999971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"/>
  <sheetViews>
    <sheetView zoomScaleNormal="100" workbookViewId="0"/>
  </sheetViews>
  <sheetFormatPr baseColWidth="10" defaultColWidth="8.6640625" defaultRowHeight="15" x14ac:dyDescent="0.2"/>
  <cols>
    <col min="1" max="1" width="42" customWidth="1"/>
    <col min="2" max="5" width="16" customWidth="1"/>
  </cols>
  <sheetData>
    <row r="1" spans="1:2" ht="15.75" customHeight="1" x14ac:dyDescent="0.2">
      <c r="A1" s="19" t="s">
        <v>86</v>
      </c>
    </row>
    <row r="3" spans="1:2" ht="15" customHeight="1" x14ac:dyDescent="0.2">
      <c r="A3" s="12" t="s">
        <v>87</v>
      </c>
    </row>
    <row r="4" spans="1:2" ht="15" customHeight="1" x14ac:dyDescent="0.2">
      <c r="A4" s="14" t="s">
        <v>88</v>
      </c>
      <c r="B4" s="20">
        <f>'Proyección P&amp;L'!B7</f>
        <v>17856</v>
      </c>
    </row>
    <row r="5" spans="1:2" ht="15" customHeight="1" x14ac:dyDescent="0.2">
      <c r="A5" s="14" t="s">
        <v>89</v>
      </c>
      <c r="B5" s="17">
        <f>B4*Supuestos!$B$25</f>
        <v>107136</v>
      </c>
    </row>
    <row r="6" spans="1:2" ht="15" customHeight="1" x14ac:dyDescent="0.2">
      <c r="A6" s="14" t="s">
        <v>90</v>
      </c>
      <c r="B6" s="16">
        <f>B4*Supuestos!$B$26</f>
        <v>124992</v>
      </c>
    </row>
    <row r="7" spans="1:2" ht="15" customHeight="1" x14ac:dyDescent="0.2">
      <c r="A7" s="14" t="s">
        <v>91</v>
      </c>
      <c r="B7" s="17">
        <f>B4*Supuestos!$B$27</f>
        <v>142848</v>
      </c>
    </row>
    <row r="8" spans="1:2" ht="15" customHeight="1" x14ac:dyDescent="0.2">
      <c r="A8" s="14" t="s">
        <v>92</v>
      </c>
      <c r="B8" s="20">
        <f>Deuda!B4</f>
        <v>17856</v>
      </c>
    </row>
    <row r="9" spans="1:2" ht="15" customHeight="1" x14ac:dyDescent="0.2">
      <c r="A9" s="14" t="s">
        <v>93</v>
      </c>
      <c r="B9" s="16">
        <f>B6-B8</f>
        <v>107136</v>
      </c>
    </row>
    <row r="10" spans="1:2" ht="15" customHeight="1" x14ac:dyDescent="0.2">
      <c r="A10" s="14" t="s">
        <v>94</v>
      </c>
      <c r="B10" s="16">
        <f>B9*Supuestos!$B$32</f>
        <v>85708.800000000003</v>
      </c>
    </row>
    <row r="11" spans="1:2" ht="15" customHeight="1" x14ac:dyDescent="0.2">
      <c r="A11" s="14" t="s">
        <v>95</v>
      </c>
      <c r="B11" s="21">
        <f>B10/Supuestos!$B$4</f>
        <v>26.851127819548871</v>
      </c>
    </row>
    <row r="13" spans="1:2" ht="15" customHeight="1" x14ac:dyDescent="0.2">
      <c r="A13" s="12" t="s">
        <v>96</v>
      </c>
    </row>
    <row r="14" spans="1:2" ht="15" customHeight="1" x14ac:dyDescent="0.2">
      <c r="A14" s="14" t="s">
        <v>97</v>
      </c>
      <c r="B14" s="20">
        <f>'Proyección P&amp;L'!G7</f>
        <v>46097.234444404887</v>
      </c>
    </row>
    <row r="15" spans="1:2" ht="15" customHeight="1" x14ac:dyDescent="0.2">
      <c r="A15" s="14" t="s">
        <v>98</v>
      </c>
      <c r="B15" s="17">
        <f>B14*Supuestos!$B$28</f>
        <v>345729.25833303668</v>
      </c>
    </row>
    <row r="16" spans="1:2" ht="15" customHeight="1" x14ac:dyDescent="0.2">
      <c r="A16" s="14" t="s">
        <v>99</v>
      </c>
      <c r="B16" s="16">
        <f>B14*Supuestos!$B$29</f>
        <v>391826.49277744151</v>
      </c>
    </row>
    <row r="17" spans="1:4" ht="15" customHeight="1" x14ac:dyDescent="0.2">
      <c r="A17" s="14" t="s">
        <v>100</v>
      </c>
      <c r="B17" s="17">
        <f>B14*Supuestos!$B$30</f>
        <v>437923.72722184641</v>
      </c>
    </row>
    <row r="18" spans="1:4" ht="15" customHeight="1" x14ac:dyDescent="0.2">
      <c r="A18" s="14" t="s">
        <v>101</v>
      </c>
      <c r="B18" s="20">
        <f>Deuda!G7</f>
        <v>0</v>
      </c>
    </row>
    <row r="19" spans="1:4" ht="15" customHeight="1" x14ac:dyDescent="0.2">
      <c r="A19" s="14" t="s">
        <v>102</v>
      </c>
      <c r="B19" s="16">
        <f>B16-B18</f>
        <v>391826.49277744151</v>
      </c>
    </row>
    <row r="20" spans="1:4" ht="15" customHeight="1" x14ac:dyDescent="0.2">
      <c r="A20" s="14" t="s">
        <v>103</v>
      </c>
      <c r="B20" s="16">
        <f>B19*Supuestos!$B$32</f>
        <v>313461.19422195322</v>
      </c>
    </row>
    <row r="21" spans="1:4" ht="15" customHeight="1" x14ac:dyDescent="0.2">
      <c r="A21" s="14" t="s">
        <v>104</v>
      </c>
      <c r="B21" s="21">
        <f>B20/Supuestos!$B$4</f>
        <v>98.202128515649505</v>
      </c>
    </row>
    <row r="23" spans="1:4" ht="15" customHeight="1" x14ac:dyDescent="0.2">
      <c r="A23" s="12" t="s">
        <v>105</v>
      </c>
    </row>
    <row r="24" spans="1:4" ht="15" customHeight="1" x14ac:dyDescent="0.2">
      <c r="A24" s="14" t="s">
        <v>106</v>
      </c>
      <c r="B24" s="22">
        <f>B20/B10</f>
        <v>3.6572813319280311</v>
      </c>
    </row>
    <row r="25" spans="1:4" ht="15" customHeight="1" x14ac:dyDescent="0.2">
      <c r="A25" s="14" t="s">
        <v>107</v>
      </c>
      <c r="B25" s="23">
        <f>B24^(1/Supuestos!$B$31)-1</f>
        <v>0.29607959661131589</v>
      </c>
    </row>
    <row r="27" spans="1:4" ht="15" customHeight="1" x14ac:dyDescent="0.2">
      <c r="A27" s="12" t="s">
        <v>108</v>
      </c>
    </row>
    <row r="28" spans="1:4" ht="15" customHeight="1" x14ac:dyDescent="0.2">
      <c r="A28" s="13" t="s">
        <v>109</v>
      </c>
      <c r="B28" s="13" t="s">
        <v>110</v>
      </c>
      <c r="C28" s="13" t="s">
        <v>111</v>
      </c>
      <c r="D28" s="13" t="s">
        <v>112</v>
      </c>
    </row>
    <row r="29" spans="1:4" ht="15" customHeight="1" x14ac:dyDescent="0.2">
      <c r="A29" s="14" t="s">
        <v>113</v>
      </c>
      <c r="B29" s="24">
        <f>(B14*Supuestos!$B$28-B18)/(B4*Supuestos!$B$25-B8)</f>
        <v>3.8724155279237977</v>
      </c>
      <c r="C29" s="24">
        <f>(B14*Supuestos!$B$29-B18)/(B4*Supuestos!$B$25-B8)</f>
        <v>4.3887375983136367</v>
      </c>
      <c r="D29" s="24">
        <f>(B14*Supuestos!$B$30-B18)/(B4*Supuestos!$B$25-B8)</f>
        <v>4.9050596687034771</v>
      </c>
    </row>
    <row r="30" spans="1:4" ht="15" customHeight="1" x14ac:dyDescent="0.2">
      <c r="A30" s="14" t="s">
        <v>114</v>
      </c>
      <c r="B30" s="24">
        <f>(B14*Supuestos!$B$28-B18)/(B4*Supuestos!$B$26-B8)</f>
        <v>3.2270129399364982</v>
      </c>
      <c r="C30" s="24">
        <f>(B14*Supuestos!$B$29-B18)/(B4*Supuestos!$B$26-B8)</f>
        <v>3.6572813319280306</v>
      </c>
      <c r="D30" s="24">
        <f>(B14*Supuestos!$B$30-B18)/(B4*Supuestos!$B$26-B8)</f>
        <v>4.0875497239195644</v>
      </c>
    </row>
    <row r="31" spans="1:4" ht="15" customHeight="1" x14ac:dyDescent="0.2">
      <c r="A31" s="14" t="s">
        <v>115</v>
      </c>
      <c r="B31" s="24">
        <f>(B14*Supuestos!$B$28-B18)/(B4*Supuestos!$B$27-B8)</f>
        <v>2.7660110913741414</v>
      </c>
      <c r="C31" s="24">
        <f>(B14*Supuestos!$B$29-B18)/(B4*Supuestos!$B$27-B8)</f>
        <v>3.1348125702240264</v>
      </c>
      <c r="D31" s="24">
        <f>(B14*Supuestos!$B$30-B18)/(B4*Supuestos!$B$27-B8)</f>
        <v>3.5036140490739118</v>
      </c>
    </row>
    <row r="33" spans="1:1" ht="15" customHeight="1" x14ac:dyDescent="0.2">
      <c r="A33" s="25" t="s">
        <v>116</v>
      </c>
    </row>
    <row r="34" spans="1:1" ht="15" customHeight="1" x14ac:dyDescent="0.2">
      <c r="A34" s="25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3" width="16" customWidth="1"/>
  </cols>
  <sheetData>
    <row r="1" spans="1:3" ht="15.75" customHeight="1" x14ac:dyDescent="0.2">
      <c r="A1" s="19" t="s">
        <v>118</v>
      </c>
    </row>
    <row r="3" spans="1:3" ht="15" customHeight="1" x14ac:dyDescent="0.2">
      <c r="A3" s="13" t="s">
        <v>119</v>
      </c>
      <c r="B3" s="13" t="s">
        <v>120</v>
      </c>
      <c r="C3" s="13" t="s">
        <v>121</v>
      </c>
    </row>
    <row r="4" spans="1:3" ht="15" customHeight="1" x14ac:dyDescent="0.2">
      <c r="A4" s="14" t="s">
        <v>122</v>
      </c>
      <c r="B4" s="17">
        <f>('Valuación y Retorno'!B14-'Valuación y Retorno'!B4)*Supuestos!$B$26</f>
        <v>197688.6411108342</v>
      </c>
      <c r="C4" s="15">
        <f>B4/B7</f>
        <v>0.69439846474036793</v>
      </c>
    </row>
    <row r="5" spans="1:3" ht="15" customHeight="1" x14ac:dyDescent="0.2">
      <c r="A5" s="14" t="s">
        <v>123</v>
      </c>
      <c r="B5" s="17">
        <f>'Valuación y Retorno'!B14*(Supuestos!$B$29-Supuestos!$B$26)</f>
        <v>69145.851666607326</v>
      </c>
      <c r="C5" s="15">
        <f>B5/B7</f>
        <v>0.24288078956209649</v>
      </c>
    </row>
    <row r="6" spans="1:3" ht="15" customHeight="1" x14ac:dyDescent="0.2">
      <c r="A6" s="14" t="s">
        <v>124</v>
      </c>
      <c r="B6" s="17">
        <f>'Valuación y Retorno'!B8-'Valuación y Retorno'!B18</f>
        <v>17856</v>
      </c>
      <c r="C6" s="15">
        <f>B6/B7</f>
        <v>6.2720745697535579E-2</v>
      </c>
    </row>
    <row r="7" spans="1:3" ht="15" customHeight="1" x14ac:dyDescent="0.2">
      <c r="A7" s="12" t="s">
        <v>125</v>
      </c>
      <c r="B7" s="16">
        <f>B4+B5+B6</f>
        <v>284690.49277744151</v>
      </c>
    </row>
    <row r="9" spans="1:3" ht="15" customHeight="1" x14ac:dyDescent="0.2">
      <c r="A9" s="25" t="s">
        <v>126</v>
      </c>
      <c r="B9" s="26">
        <f>'Valuación y Retorno'!B19-'Valuación y Retorno'!B9</f>
        <v>284690.49277744151</v>
      </c>
    </row>
    <row r="10" spans="1:3" ht="15" customHeight="1" x14ac:dyDescent="0.2">
      <c r="A10" s="25" t="s">
        <v>127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Supuestos</vt:lpstr>
      <vt:lpstr>Proyección P&amp;L</vt:lpstr>
      <vt:lpstr>Deuda</vt:lpstr>
      <vt:lpstr>Valuación y Retorno</vt:lpstr>
      <vt:lpstr>Puente de Retorno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 ALONSO DE LA TEJERA GONZALEZ</cp:lastModifiedBy>
  <cp:revision>0</cp:revision>
  <dcterms:created xsi:type="dcterms:W3CDTF">2026-09-21T17:13:29Z</dcterms:created>
  <dcterms:modified xsi:type="dcterms:W3CDTF">2026-09-21T18:10:07Z</dcterms:modified>
  <dc:language>en-US</dc:language>
</cp:coreProperties>
</file>